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56E1809-1216-4D39-A263-575DD9B31DD9}" xr6:coauthVersionLast="47" xr6:coauthVersionMax="47" xr10:uidLastSave="{00000000-0000-0000-0000-000000000000}"/>
  <bookViews>
    <workbookView xWindow="-120" yWindow="660" windowWidth="24240" windowHeight="12360" xr2:uid="{553CA8F6-D6BC-44FB-ADBB-C1233A372DA4}"/>
  </bookViews>
  <sheets>
    <sheet name="📊 Performans Analizi" sheetId="1" r:id="rId1"/>
  </sheets>
  <definedNames>
    <definedName name="_xlnm._FilterDatabase" localSheetId="0" hidden="1">'📊 Performans Analizi'!$A$5:$N$20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6" i="1"/>
  <c r="K15" i="1"/>
  <c r="K16" i="1"/>
  <c r="K17" i="1"/>
  <c r="K18" i="1"/>
  <c r="K19" i="1"/>
  <c r="K20" i="1"/>
  <c r="K7" i="1"/>
  <c r="K8" i="1"/>
  <c r="K9" i="1"/>
  <c r="K10" i="1"/>
  <c r="K11" i="1"/>
  <c r="K12" i="1"/>
  <c r="K13" i="1"/>
  <c r="K14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6" i="1"/>
  <c r="E21" i="1"/>
  <c r="F21" i="1"/>
  <c r="G21" i="1"/>
  <c r="H2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</calcChain>
</file>

<file path=xl/sharedStrings.xml><?xml version="1.0" encoding="utf-8"?>
<sst xmlns="http://schemas.openxmlformats.org/spreadsheetml/2006/main" count="65" uniqueCount="54">
  <si>
    <t>İLERİ SEVİYE EĞER &amp; ORTALAMA UYGULAMA TABLOSU</t>
  </si>
  <si>
    <t>EĞERORTALAMA($C$6:$C$20; C6; $H$6:$H$20)</t>
  </si>
  <si>
    <t>Kurumsal Personel Performans, Departman Ortalamaları ve Prim Hesaplama Modeli</t>
  </si>
  <si>
    <t>Ortalama Üstü</t>
  </si>
  <si>
    <t>Ortalama Altı</t>
  </si>
  <si>
    <t>Personel ID</t>
  </si>
  <si>
    <t>Ad Soyad</t>
  </si>
  <si>
    <t>Departman</t>
  </si>
  <si>
    <t>Kıdem (Yıl)</t>
  </si>
  <si>
    <t>Q1 Puanı
(Ağırlık: %20)</t>
  </si>
  <si>
    <t>Q2 Puanı
(Ağırlık: %30)</t>
  </si>
  <si>
    <t>Q3 Puanı
(Ağırlık: %50)</t>
  </si>
  <si>
    <t>Ağırlıklı
Ortalama</t>
  </si>
  <si>
    <t>Genel Ortalama
Karşılaştırma</t>
  </si>
  <si>
    <t>Departman
Ortalaması</t>
  </si>
  <si>
    <t>Performans
Durumu</t>
  </si>
  <si>
    <t>Devamlılık
Oranı</t>
  </si>
  <si>
    <t>Mevcut Maaş (₺)</t>
  </si>
  <si>
    <t>Hak Edilen
Prim (₺)</t>
  </si>
  <si>
    <t>PER-101</t>
  </si>
  <si>
    <t>Ahmet Yılmaz</t>
  </si>
  <si>
    <t>Satış</t>
  </si>
  <si>
    <t>PER-102</t>
  </si>
  <si>
    <t>Ayşe Demir</t>
  </si>
  <si>
    <t>PER-103</t>
  </si>
  <si>
    <t>Mehmet Kaya</t>
  </si>
  <si>
    <t>Yazılım</t>
  </si>
  <si>
    <t>PER-104</t>
  </si>
  <si>
    <t>Fatma Çelik</t>
  </si>
  <si>
    <t>PER-105</t>
  </si>
  <si>
    <t>Can Öztürk</t>
  </si>
  <si>
    <t>Pazarlama</t>
  </si>
  <si>
    <t>PER-106</t>
  </si>
  <si>
    <t>Zeynep Şahin</t>
  </si>
  <si>
    <t>PER-107</t>
  </si>
  <si>
    <t>Ali Aydin</t>
  </si>
  <si>
    <t>PER-108</t>
  </si>
  <si>
    <t>Elif Arslan</t>
  </si>
  <si>
    <t>İnsan Kaynakları</t>
  </si>
  <si>
    <t>PER-109</t>
  </si>
  <si>
    <t>Burak Koç</t>
  </si>
  <si>
    <t>PER-110</t>
  </si>
  <si>
    <t>Seda Güneş</t>
  </si>
  <si>
    <t>PER-111</t>
  </si>
  <si>
    <t>Emre Kaan</t>
  </si>
  <si>
    <t>PER-112</t>
  </si>
  <si>
    <t>Deniz Yıldız</t>
  </si>
  <si>
    <t>PER-113</t>
  </si>
  <si>
    <t>Murat Polat</t>
  </si>
  <si>
    <t>PER-114</t>
  </si>
  <si>
    <t>Gözde Aksoy</t>
  </si>
  <si>
    <t>PER-115</t>
  </si>
  <si>
    <t>Oğuz Sever</t>
  </si>
  <si>
    <t>GENEL ORTALAMA /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</si>
</sst>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₺#,##0"/>
  </numFmts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7FAFC"/>
        <bgColor rgb="FFF7FAF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5" fillId="0" borderId="3" xfId="0" applyFont="1" applyBorder="1"/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/>
    <xf numFmtId="164" fontId="5" fillId="0" borderId="3" xfId="0" applyNumberFormat="1" applyFont="1" applyBorder="1"/>
    <xf numFmtId="165" fontId="5" fillId="0" borderId="3" xfId="0" applyNumberFormat="1" applyFont="1" applyBorder="1"/>
    <xf numFmtId="0" fontId="4" fillId="4" borderId="2" xfId="0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b/>
        <color rgb="FF9B2C2C"/>
      </font>
      <fill>
        <patternFill patternType="solid">
          <fgColor rgb="FFFED7D7"/>
        </patternFill>
      </fill>
    </dxf>
    <dxf>
      <font>
        <b/>
        <color rgb="FF975A16"/>
      </font>
      <fill>
        <patternFill patternType="solid">
          <fgColor rgb="FFFEFCBF"/>
        </patternFill>
      </fill>
    </dxf>
    <dxf>
      <font>
        <b/>
        <color rgb="FF2B6CB0"/>
      </font>
      <fill>
        <patternFill patternType="solid">
          <fgColor rgb="FFEBF8FF"/>
        </patternFill>
      </fill>
    </dxf>
    <dxf>
      <font>
        <b/>
        <color rgb="FF276749"/>
      </font>
      <fill>
        <patternFill patternType="solid">
          <f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888-2A6A-41DC-B219-9903A54F61BA}">
  <dimension ref="A2:N22"/>
  <sheetViews>
    <sheetView tabSelected="1" zoomScaleNormal="100" workbookViewId="0">
      <pane xSplit="2" ySplit="5" topLeftCell="E6" activePane="bottomRight" state="frozen"/>
      <selection pane="topRight"/>
      <selection pane="bottomLeft"/>
      <selection pane="bottomRight" activeCell="N6" sqref="N6"/>
    </sheetView>
  </sheetViews>
  <sheetFormatPr defaultRowHeight="15" x14ac:dyDescent="0.25"/>
  <cols>
    <col min="1" max="1" width="15" customWidth="1"/>
    <col min="2" max="2" width="27.85546875" bestFit="1" customWidth="1"/>
    <col min="3" max="4" width="15.42578125" bestFit="1" customWidth="1"/>
    <col min="5" max="7" width="17.7109375" bestFit="1" customWidth="1"/>
    <col min="8" max="8" width="13.7109375" bestFit="1" customWidth="1"/>
    <col min="9" max="9" width="19.42578125" bestFit="1" customWidth="1"/>
    <col min="10" max="10" width="15.42578125" bestFit="1" customWidth="1"/>
    <col min="11" max="11" width="15.7109375" bestFit="1" customWidth="1"/>
    <col min="12" max="12" width="15" bestFit="1" customWidth="1"/>
    <col min="13" max="13" width="20.28515625" bestFit="1" customWidth="1"/>
    <col min="14" max="14" width="15" bestFit="1" customWidth="1"/>
  </cols>
  <sheetData>
    <row r="2" spans="1:14" ht="48.75" x14ac:dyDescent="0.5">
      <c r="A2" s="1" t="s">
        <v>0</v>
      </c>
      <c r="H2">
        <v>0.2</v>
      </c>
      <c r="J2" s="2" t="s">
        <v>1</v>
      </c>
    </row>
    <row r="3" spans="1:14" x14ac:dyDescent="0.25">
      <c r="A3" s="3" t="s">
        <v>2</v>
      </c>
      <c r="H3">
        <v>0.3</v>
      </c>
      <c r="I3" t="s">
        <v>3</v>
      </c>
    </row>
    <row r="4" spans="1:14" x14ac:dyDescent="0.25">
      <c r="H4">
        <v>0.5</v>
      </c>
      <c r="I4" t="s">
        <v>4</v>
      </c>
    </row>
    <row r="5" spans="1:14" ht="35.1" customHeight="1" thickBo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 spans="1:14" x14ac:dyDescent="0.25">
      <c r="A6" s="5" t="s">
        <v>19</v>
      </c>
      <c r="B6" s="6" t="s">
        <v>20</v>
      </c>
      <c r="C6" s="5" t="s">
        <v>21</v>
      </c>
      <c r="D6" s="7">
        <v>4</v>
      </c>
      <c r="E6" s="7">
        <v>85</v>
      </c>
      <c r="F6" s="7">
        <v>90</v>
      </c>
      <c r="G6" s="7">
        <v>88</v>
      </c>
      <c r="H6" s="8">
        <f>SUMPRODUCT(E6:G6,{0.2,0.3,0.5})</f>
        <v>88</v>
      </c>
      <c r="I6" s="5" t="str">
        <f>IF(H6&gt;=$H$21,"Ortalama Üstü","Ortalama Altı")</f>
        <v>Ortalama Üstü</v>
      </c>
      <c r="J6" s="8">
        <f>AVERAGEIF($C$6:$C$20,C6,$H$6:$H$20)</f>
        <v>82.525000000000006</v>
      </c>
      <c r="K6" s="21" t="str">
        <f>IF(H6&gt;=J6*1.08,"üstün başarı",IF(H6&gt;=J6,"Hedef yakalandı",IF(H6&gt;=J6*0.9,"Geliştirilmeli","Kritik risk")))</f>
        <v>Hedef yakalandı</v>
      </c>
      <c r="L6" s="9">
        <v>0.95</v>
      </c>
      <c r="M6" s="10">
        <v>45000</v>
      </c>
      <c r="N6" s="22" t="str">
        <f>IF(AND(K6=$K$8,L6&gt;=0.95),M6*0.2,"-")</f>
        <v>-</v>
      </c>
    </row>
    <row r="7" spans="1:14" x14ac:dyDescent="0.25">
      <c r="A7" s="11" t="s">
        <v>22</v>
      </c>
      <c r="B7" s="12" t="s">
        <v>23</v>
      </c>
      <c r="C7" s="11" t="s">
        <v>21</v>
      </c>
      <c r="D7" s="13">
        <v>2</v>
      </c>
      <c r="E7" s="13">
        <v>70</v>
      </c>
      <c r="F7" s="13">
        <v>65</v>
      </c>
      <c r="G7" s="13">
        <v>72</v>
      </c>
      <c r="H7" s="8">
        <f>SUMPRODUCT(E7:G7,{0.2,0.3,0.5})</f>
        <v>69.5</v>
      </c>
      <c r="I7" s="5" t="str">
        <f t="shared" ref="I7:I20" si="0">IF(H7&gt;=$H$21,"Ortalama Üstü","Ortalama Altı")</f>
        <v>Ortalama Altı</v>
      </c>
      <c r="J7" s="8">
        <f t="shared" ref="J7:J20" si="1">AVERAGEIF($C$6:$C$20,C7,$H$6:$H$20)</f>
        <v>82.525000000000006</v>
      </c>
      <c r="K7" s="21" t="str">
        <f t="shared" ref="K7:K20" si="2">IF(H7&gt;=J7*1.08,"üstün başarı",IF(H7&gt;=J7,"Hedef yakalandı",IF(H7&gt;=J7*0.9,"Geliştirilmeli","Kritik risk")))</f>
        <v>Kritik risk</v>
      </c>
      <c r="L7" s="14">
        <v>0.88</v>
      </c>
      <c r="M7" s="15">
        <v>38000</v>
      </c>
      <c r="N7" s="22" t="str">
        <f t="shared" ref="N7:N20" si="3">IF(AND(K7=$K$8,L7&gt;=0.95),M7*0.2,"-")</f>
        <v>-</v>
      </c>
    </row>
    <row r="8" spans="1:14" x14ac:dyDescent="0.25">
      <c r="A8" s="5" t="s">
        <v>24</v>
      </c>
      <c r="B8" s="6" t="s">
        <v>25</v>
      </c>
      <c r="C8" s="5" t="s">
        <v>26</v>
      </c>
      <c r="D8" s="7">
        <v>5</v>
      </c>
      <c r="E8" s="7">
        <v>92</v>
      </c>
      <c r="F8" s="7">
        <v>95</v>
      </c>
      <c r="G8" s="7">
        <v>98</v>
      </c>
      <c r="H8" s="8">
        <f>SUMPRODUCT(E8:G8,{0.2,0.3,0.5})</f>
        <v>95.9</v>
      </c>
      <c r="I8" s="5" t="str">
        <f t="shared" si="0"/>
        <v>Ortalama Üstü</v>
      </c>
      <c r="J8" s="8">
        <f t="shared" si="1"/>
        <v>82.375</v>
      </c>
      <c r="K8" s="21" t="str">
        <f t="shared" si="2"/>
        <v>üstün başarı</v>
      </c>
      <c r="L8" s="9">
        <v>0.98</v>
      </c>
      <c r="M8" s="10">
        <v>62000</v>
      </c>
      <c r="N8" s="22">
        <f t="shared" si="3"/>
        <v>12400</v>
      </c>
    </row>
    <row r="9" spans="1:14" x14ac:dyDescent="0.25">
      <c r="A9" s="11" t="s">
        <v>27</v>
      </c>
      <c r="B9" s="12" t="s">
        <v>28</v>
      </c>
      <c r="C9" s="11" t="s">
        <v>26</v>
      </c>
      <c r="D9" s="13">
        <v>3</v>
      </c>
      <c r="E9" s="13">
        <v>78</v>
      </c>
      <c r="F9" s="13">
        <v>82</v>
      </c>
      <c r="G9" s="13">
        <v>80</v>
      </c>
      <c r="H9" s="8">
        <f>SUMPRODUCT(E9:G9,{0.2,0.3,0.5})</f>
        <v>80.2</v>
      </c>
      <c r="I9" s="5" t="str">
        <f t="shared" si="0"/>
        <v>Ortalama Altı</v>
      </c>
      <c r="J9" s="8">
        <f t="shared" si="1"/>
        <v>82.375</v>
      </c>
      <c r="K9" s="21" t="str">
        <f t="shared" si="2"/>
        <v>Geliştirilmeli</v>
      </c>
      <c r="L9" s="14">
        <v>0.92</v>
      </c>
      <c r="M9" s="15">
        <v>52000</v>
      </c>
      <c r="N9" s="22" t="str">
        <f t="shared" si="3"/>
        <v>-</v>
      </c>
    </row>
    <row r="10" spans="1:14" x14ac:dyDescent="0.25">
      <c r="A10" s="5" t="s">
        <v>29</v>
      </c>
      <c r="B10" s="6" t="s">
        <v>30</v>
      </c>
      <c r="C10" s="5" t="s">
        <v>31</v>
      </c>
      <c r="D10" s="7">
        <v>1</v>
      </c>
      <c r="E10" s="7">
        <v>60</v>
      </c>
      <c r="F10" s="7">
        <v>55</v>
      </c>
      <c r="G10" s="7">
        <v>68</v>
      </c>
      <c r="H10" s="8">
        <f>SUMPRODUCT(E10:G10,{0.2,0.3,0.5})</f>
        <v>62.5</v>
      </c>
      <c r="I10" s="5" t="str">
        <f t="shared" si="0"/>
        <v>Ortalama Altı</v>
      </c>
      <c r="J10" s="8">
        <f t="shared" si="1"/>
        <v>78</v>
      </c>
      <c r="K10" s="21" t="str">
        <f t="shared" si="2"/>
        <v>Kritik risk</v>
      </c>
      <c r="L10" s="9">
        <v>0.85</v>
      </c>
      <c r="M10" s="10">
        <v>35000</v>
      </c>
      <c r="N10" s="22" t="str">
        <f t="shared" si="3"/>
        <v>-</v>
      </c>
    </row>
    <row r="11" spans="1:14" x14ac:dyDescent="0.25">
      <c r="A11" s="11" t="s">
        <v>32</v>
      </c>
      <c r="B11" s="12" t="s">
        <v>33</v>
      </c>
      <c r="C11" s="11" t="s">
        <v>31</v>
      </c>
      <c r="D11" s="13">
        <v>6</v>
      </c>
      <c r="E11" s="13">
        <v>88</v>
      </c>
      <c r="F11" s="13">
        <v>91</v>
      </c>
      <c r="G11" s="13">
        <v>94</v>
      </c>
      <c r="H11" s="8">
        <f>SUMPRODUCT(E11:G11,{0.2,0.3,0.5})</f>
        <v>91.9</v>
      </c>
      <c r="I11" s="5" t="str">
        <f t="shared" si="0"/>
        <v>Ortalama Üstü</v>
      </c>
      <c r="J11" s="8">
        <f t="shared" si="1"/>
        <v>78</v>
      </c>
      <c r="K11" s="21" t="str">
        <f t="shared" si="2"/>
        <v>üstün başarı</v>
      </c>
      <c r="L11" s="14">
        <v>0.96</v>
      </c>
      <c r="M11" s="15">
        <v>48000</v>
      </c>
      <c r="N11" s="22">
        <f t="shared" si="3"/>
        <v>9600</v>
      </c>
    </row>
    <row r="12" spans="1:14" x14ac:dyDescent="0.25">
      <c r="A12" s="5" t="s">
        <v>34</v>
      </c>
      <c r="B12" s="6" t="s">
        <v>35</v>
      </c>
      <c r="C12" s="5" t="s">
        <v>21</v>
      </c>
      <c r="D12" s="7">
        <v>3</v>
      </c>
      <c r="E12" s="7">
        <v>75</v>
      </c>
      <c r="F12" s="7">
        <v>80</v>
      </c>
      <c r="G12" s="7">
        <v>78</v>
      </c>
      <c r="H12" s="8">
        <f>SUMPRODUCT(E12:G12,{0.2,0.3,0.5})</f>
        <v>78</v>
      </c>
      <c r="I12" s="5" t="str">
        <f t="shared" si="0"/>
        <v>Ortalama Altı</v>
      </c>
      <c r="J12" s="8">
        <f t="shared" si="1"/>
        <v>82.525000000000006</v>
      </c>
      <c r="K12" s="21" t="str">
        <f t="shared" si="2"/>
        <v>Geliştirilmeli</v>
      </c>
      <c r="L12" s="9">
        <v>0.91</v>
      </c>
      <c r="M12" s="10">
        <v>41000</v>
      </c>
      <c r="N12" s="22" t="str">
        <f t="shared" si="3"/>
        <v>-</v>
      </c>
    </row>
    <row r="13" spans="1:14" x14ac:dyDescent="0.25">
      <c r="A13" s="11" t="s">
        <v>36</v>
      </c>
      <c r="B13" s="12" t="s">
        <v>37</v>
      </c>
      <c r="C13" s="11" t="s">
        <v>38</v>
      </c>
      <c r="D13" s="13">
        <v>4</v>
      </c>
      <c r="E13" s="13">
        <v>82</v>
      </c>
      <c r="F13" s="13">
        <v>85</v>
      </c>
      <c r="G13" s="13">
        <v>89</v>
      </c>
      <c r="H13" s="8">
        <f>SUMPRODUCT(E13:G13,{0.2,0.3,0.5})</f>
        <v>86.4</v>
      </c>
      <c r="I13" s="5" t="str">
        <f t="shared" si="0"/>
        <v>Ortalama Üstü</v>
      </c>
      <c r="J13" s="8">
        <f t="shared" si="1"/>
        <v>79</v>
      </c>
      <c r="K13" s="21" t="str">
        <f t="shared" si="2"/>
        <v>üstün başarı</v>
      </c>
      <c r="L13" s="14">
        <v>0.94</v>
      </c>
      <c r="M13" s="15">
        <v>42000</v>
      </c>
      <c r="N13" s="22" t="str">
        <f t="shared" si="3"/>
        <v>-</v>
      </c>
    </row>
    <row r="14" spans="1:14" x14ac:dyDescent="0.25">
      <c r="A14" s="5" t="s">
        <v>39</v>
      </c>
      <c r="B14" s="6" t="s">
        <v>40</v>
      </c>
      <c r="C14" s="5" t="s">
        <v>26</v>
      </c>
      <c r="D14" s="7">
        <v>2</v>
      </c>
      <c r="E14" s="7">
        <v>65</v>
      </c>
      <c r="F14" s="7">
        <v>70</v>
      </c>
      <c r="G14" s="7">
        <v>62</v>
      </c>
      <c r="H14" s="8">
        <f>SUMPRODUCT(E14:G14,{0.2,0.3,0.5})</f>
        <v>65</v>
      </c>
      <c r="I14" s="5" t="str">
        <f t="shared" si="0"/>
        <v>Ortalama Altı</v>
      </c>
      <c r="J14" s="8">
        <f t="shared" si="1"/>
        <v>82.375</v>
      </c>
      <c r="K14" s="21" t="str">
        <f t="shared" si="2"/>
        <v>Kritik risk</v>
      </c>
      <c r="L14" s="9">
        <v>0.87</v>
      </c>
      <c r="M14" s="10">
        <v>46000</v>
      </c>
      <c r="N14" s="22" t="str">
        <f t="shared" si="3"/>
        <v>-</v>
      </c>
    </row>
    <row r="15" spans="1:14" x14ac:dyDescent="0.25">
      <c r="A15" s="11" t="s">
        <v>41</v>
      </c>
      <c r="B15" s="12" t="s">
        <v>42</v>
      </c>
      <c r="C15" s="11" t="s">
        <v>38</v>
      </c>
      <c r="D15" s="13">
        <v>5</v>
      </c>
      <c r="E15" s="13">
        <v>90</v>
      </c>
      <c r="F15" s="13">
        <v>88</v>
      </c>
      <c r="G15" s="13">
        <v>92</v>
      </c>
      <c r="H15" s="8">
        <f>SUMPRODUCT(E15:G15,{0.2,0.3,0.5})</f>
        <v>90.4</v>
      </c>
      <c r="I15" s="5" t="str">
        <f t="shared" si="0"/>
        <v>Ortalama Üstü</v>
      </c>
      <c r="J15" s="8">
        <f t="shared" si="1"/>
        <v>79</v>
      </c>
      <c r="K15" s="21" t="str">
        <f>IF(H15&gt;=J15*1.08,"üstün başarı",IF(H15&gt;=J15,"Hedef yakalandı",IF(H15&gt;=J15*0.9,"Geliştirilmeli","Kritik risk")))</f>
        <v>üstün başarı</v>
      </c>
      <c r="L15" s="14">
        <v>0.97</v>
      </c>
      <c r="M15" s="15">
        <v>45000</v>
      </c>
      <c r="N15" s="22">
        <f t="shared" si="3"/>
        <v>9000</v>
      </c>
    </row>
    <row r="16" spans="1:14" x14ac:dyDescent="0.25">
      <c r="A16" s="5" t="s">
        <v>43</v>
      </c>
      <c r="B16" s="6" t="s">
        <v>44</v>
      </c>
      <c r="C16" s="5" t="s">
        <v>21</v>
      </c>
      <c r="D16" s="7">
        <v>7</v>
      </c>
      <c r="E16" s="7">
        <v>95</v>
      </c>
      <c r="F16" s="7">
        <v>92</v>
      </c>
      <c r="G16" s="7">
        <v>96</v>
      </c>
      <c r="H16" s="8">
        <f>SUMPRODUCT(E16:G16,{0.2,0.3,0.5})</f>
        <v>94.6</v>
      </c>
      <c r="I16" s="5" t="str">
        <f t="shared" si="0"/>
        <v>Ortalama Üstü</v>
      </c>
      <c r="J16" s="8">
        <f t="shared" si="1"/>
        <v>82.525000000000006</v>
      </c>
      <c r="K16" s="21" t="str">
        <f t="shared" si="2"/>
        <v>üstün başarı</v>
      </c>
      <c r="L16" s="9">
        <v>0.99</v>
      </c>
      <c r="M16" s="10">
        <v>50000</v>
      </c>
      <c r="N16" s="22">
        <f t="shared" si="3"/>
        <v>10000</v>
      </c>
    </row>
    <row r="17" spans="1:14" x14ac:dyDescent="0.25">
      <c r="A17" s="11" t="s">
        <v>45</v>
      </c>
      <c r="B17" s="12" t="s">
        <v>46</v>
      </c>
      <c r="C17" s="11" t="s">
        <v>31</v>
      </c>
      <c r="D17" s="13">
        <v>2</v>
      </c>
      <c r="E17" s="13">
        <v>72</v>
      </c>
      <c r="F17" s="13">
        <v>75</v>
      </c>
      <c r="G17" s="13">
        <v>70</v>
      </c>
      <c r="H17" s="8">
        <f>SUMPRODUCT(E17:G17,{0.2,0.3,0.5})</f>
        <v>71.900000000000006</v>
      </c>
      <c r="I17" s="5" t="str">
        <f t="shared" si="0"/>
        <v>Ortalama Altı</v>
      </c>
      <c r="J17" s="8">
        <f t="shared" si="1"/>
        <v>78</v>
      </c>
      <c r="K17" s="21" t="str">
        <f t="shared" si="2"/>
        <v>Geliştirilmeli</v>
      </c>
      <c r="L17" s="14">
        <v>0.89</v>
      </c>
      <c r="M17" s="15">
        <v>37000</v>
      </c>
      <c r="N17" s="22" t="str">
        <f t="shared" si="3"/>
        <v>-</v>
      </c>
    </row>
    <row r="18" spans="1:14" x14ac:dyDescent="0.25">
      <c r="A18" s="5" t="s">
        <v>47</v>
      </c>
      <c r="B18" s="6" t="s">
        <v>48</v>
      </c>
      <c r="C18" s="5" t="s">
        <v>26</v>
      </c>
      <c r="D18" s="7">
        <v>4</v>
      </c>
      <c r="E18" s="7">
        <v>88</v>
      </c>
      <c r="F18" s="7">
        <v>86</v>
      </c>
      <c r="G18" s="7">
        <v>90</v>
      </c>
      <c r="H18" s="8">
        <f>SUMPRODUCT(E18:G18,{0.2,0.3,0.5})</f>
        <v>88.4</v>
      </c>
      <c r="I18" s="5" t="str">
        <f t="shared" si="0"/>
        <v>Ortalama Üstü</v>
      </c>
      <c r="J18" s="8">
        <f t="shared" si="1"/>
        <v>82.375</v>
      </c>
      <c r="K18" s="21" t="str">
        <f t="shared" si="2"/>
        <v>Hedef yakalandı</v>
      </c>
      <c r="L18" s="9">
        <v>0.93</v>
      </c>
      <c r="M18" s="10">
        <v>58000</v>
      </c>
      <c r="N18" s="22" t="str">
        <f t="shared" si="3"/>
        <v>-</v>
      </c>
    </row>
    <row r="19" spans="1:14" x14ac:dyDescent="0.25">
      <c r="A19" s="11" t="s">
        <v>49</v>
      </c>
      <c r="B19" s="12" t="s">
        <v>50</v>
      </c>
      <c r="C19" s="11" t="s">
        <v>38</v>
      </c>
      <c r="D19" s="13">
        <v>1</v>
      </c>
      <c r="E19" s="13">
        <v>58</v>
      </c>
      <c r="F19" s="13">
        <v>62</v>
      </c>
      <c r="G19" s="13">
        <v>60</v>
      </c>
      <c r="H19" s="8">
        <f>SUMPRODUCT(E19:G19,{0.2,0.3,0.5})</f>
        <v>60.2</v>
      </c>
      <c r="I19" s="5" t="str">
        <f t="shared" si="0"/>
        <v>Ortalama Altı</v>
      </c>
      <c r="J19" s="8">
        <f t="shared" si="1"/>
        <v>79</v>
      </c>
      <c r="K19" s="21" t="str">
        <f t="shared" si="2"/>
        <v>Kritik risk</v>
      </c>
      <c r="L19" s="14">
        <v>0.82</v>
      </c>
      <c r="M19" s="15">
        <v>34000</v>
      </c>
      <c r="N19" s="22" t="str">
        <f t="shared" si="3"/>
        <v>-</v>
      </c>
    </row>
    <row r="20" spans="1:14" x14ac:dyDescent="0.25">
      <c r="A20" s="5" t="s">
        <v>51</v>
      </c>
      <c r="B20" s="6" t="s">
        <v>52</v>
      </c>
      <c r="C20" s="5" t="s">
        <v>31</v>
      </c>
      <c r="D20" s="7">
        <v>5</v>
      </c>
      <c r="E20" s="7">
        <v>84</v>
      </c>
      <c r="F20" s="7">
        <v>88</v>
      </c>
      <c r="G20" s="7">
        <v>85</v>
      </c>
      <c r="H20" s="8">
        <f>SUMPRODUCT(E20:G20,{0.2,0.3,0.5})</f>
        <v>85.7</v>
      </c>
      <c r="I20" s="5" t="str">
        <f t="shared" si="0"/>
        <v>Ortalama Üstü</v>
      </c>
      <c r="J20" s="8">
        <f t="shared" si="1"/>
        <v>78</v>
      </c>
      <c r="K20" s="21" t="str">
        <f t="shared" si="2"/>
        <v>üstün başarı</v>
      </c>
      <c r="L20" s="9">
        <v>0.95</v>
      </c>
      <c r="M20" s="10">
        <v>46000</v>
      </c>
      <c r="N20" s="22">
        <f t="shared" si="3"/>
        <v>9200</v>
      </c>
    </row>
    <row r="21" spans="1:14" ht="15.75" thickBot="1" x14ac:dyDescent="0.3">
      <c r="A21" s="16"/>
      <c r="B21" s="17" t="s">
        <v>53</v>
      </c>
      <c r="C21" s="16"/>
      <c r="D21" s="16"/>
      <c r="E21" s="18">
        <f t="shared" ref="E21:H21" si="4">AVERAGE(E6:E20)</f>
        <v>78.8</v>
      </c>
      <c r="F21" s="18">
        <f t="shared" si="4"/>
        <v>80.266666666666666</v>
      </c>
      <c r="G21" s="18">
        <f t="shared" si="4"/>
        <v>81.466666666666669</v>
      </c>
      <c r="H21" s="18">
        <f t="shared" si="4"/>
        <v>80.573333333333338</v>
      </c>
      <c r="I21" s="16"/>
      <c r="J21" s="16"/>
      <c r="K21" s="16"/>
      <c r="L21" s="19"/>
      <c r="M21" s="20"/>
      <c r="N21" s="20"/>
    </row>
    <row r="22" spans="1:14" ht="15.75" thickTop="1" x14ac:dyDescent="0.25"/>
  </sheetData>
  <conditionalFormatting sqref="K6:K20">
    <cfRule type="cellIs" dxfId="4" priority="2" operator="equal">
      <formula>"Üstün Başarı"</formula>
    </cfRule>
    <cfRule type="cellIs" dxfId="3" priority="3" operator="equal">
      <formula>"Hedef Yakalandı"</formula>
    </cfRule>
    <cfRule type="cellIs" dxfId="2" priority="4" operator="equal">
      <formula>"Geliştirilmeli"</formula>
    </cfRule>
    <cfRule type="cellIs" dxfId="1" priority="5" operator="equal">
      <formula>"Kritik Risk"</formula>
    </cfRule>
  </conditionalFormatting>
  <pageMargins left="0.75" right="0.75" top="1" bottom="1" header="0.5" footer="0.5"/>
  <ignoredErrors>
    <ignoredError sqref="H6:H2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733A179-D19F-49CD-A3D7-6C5FA5D54F13}">
            <xm:f>NOT(ISERROR(SEARCH($I$7,I6)))</xm:f>
            <xm:f>$I$7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I6:I20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📊 Performans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2026-10-05T12:27:19Z</dcterms:created>
  <dcterms:modified xsi:type="dcterms:W3CDTF">2026-10-06T11:26:40Z</dcterms:modified>
</cp:coreProperties>
</file>