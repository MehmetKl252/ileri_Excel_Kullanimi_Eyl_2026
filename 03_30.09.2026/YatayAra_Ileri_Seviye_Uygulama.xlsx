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A768824-DED6-4D91-A009-53EBDD97DFC0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1_Dinamik_Satir_Indisi" sheetId="1" r:id="rId1"/>
    <sheet name="2_Yaklasik_Eslesme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B27" i="1"/>
  <c r="D13" i="2"/>
  <c r="D12" i="2"/>
  <c r="D11" i="2"/>
  <c r="D10" i="2"/>
  <c r="D9" i="2"/>
</calcChain>
</file>

<file path=xl/sharedStrings.xml><?xml version="1.0" encoding="utf-8"?>
<sst xmlns="http://schemas.openxmlformats.org/spreadsheetml/2006/main" count="45" uniqueCount="43">
  <si>
    <t>İLERİ SEVİYE YATAYARA (HLOOKUP) - DİNAMİK SATIR İNDİSİ</t>
  </si>
  <si>
    <t>Bölge / Ay</t>
  </si>
  <si>
    <t>Ocak</t>
  </si>
  <si>
    <t>Şubat</t>
  </si>
  <si>
    <t>Mart</t>
  </si>
  <si>
    <t>Nisan</t>
  </si>
  <si>
    <t>Mayıs</t>
  </si>
  <si>
    <t>Haziran</t>
  </si>
  <si>
    <t>Marmara</t>
  </si>
  <si>
    <t>Ege</t>
  </si>
  <si>
    <t>İç Anadolu</t>
  </si>
  <si>
    <t>Akdeniz</t>
  </si>
  <si>
    <t>📌 Dinamik Arama Paneli</t>
  </si>
  <si>
    <t>Aranacak Ay:</t>
  </si>
  <si>
    <t>Kullanılan Formül:</t>
  </si>
  <si>
    <t>Aranacak Bölge:</t>
  </si>
  <si>
    <t>Nasıl Çalışır?</t>
  </si>
  <si>
    <t>KAÇINCI (MATCH) fonksiyonu, aranan bölgenin kaçıncı satırda olduğunu otomatik bulur. Böylece satır indeksini elle girmekten kurtulursunuz.</t>
  </si>
  <si>
    <t>Bulunan Satış Tutarı:</t>
  </si>
  <si>
    <t>İLERİ SEVİYE YATAYARA - YAKLAŞIK EŞLEŞME (KADEMELİ SKALA)</t>
  </si>
  <si>
    <t>Satış Alt Limiti</t>
  </si>
  <si>
    <t>Kazanılan Prim Oranı</t>
  </si>
  <si>
    <t>Performans Derecesi</t>
  </si>
  <si>
    <t>Bronz</t>
  </si>
  <si>
    <t>Gümüş</t>
  </si>
  <si>
    <t>Altın</t>
  </si>
  <si>
    <t>Platin</t>
  </si>
  <si>
    <t>Elmas</t>
  </si>
  <si>
    <t>Personel</t>
  </si>
  <si>
    <t>Gerçekleşen Satış</t>
  </si>
  <si>
    <t>Hak Edilen Prim</t>
  </si>
  <si>
    <t>Derece</t>
  </si>
  <si>
    <t>Ödenecek Prim</t>
  </si>
  <si>
    <t>Ahmet Yılmaz</t>
  </si>
  <si>
    <t>Ayşe Kaya</t>
  </si>
  <si>
    <t>Mehmet Demir</t>
  </si>
  <si>
    <t>Fatma Çelik</t>
  </si>
  <si>
    <t>Can Özkan</t>
  </si>
  <si>
    <t>=B9*C9</t>
  </si>
  <si>
    <t>=B10*C10</t>
  </si>
  <si>
    <t>=B11*C11</t>
  </si>
  <si>
    <t>=B12*C12</t>
  </si>
  <si>
    <t>=B13*C13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</si>
</sst>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₺&quot;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2"/>
      <name val="Calibri"/>
    </font>
    <font>
      <b/>
      <sz val="11"/>
      <name val="Calibri"/>
    </font>
    <font>
      <b/>
      <sz val="12"/>
      <color rgb="FFC00000"/>
      <name val="Calibri"/>
    </font>
    <font>
      <i/>
      <sz val="11"/>
      <color rgb="FF0070C0"/>
      <name val="Calibri"/>
    </font>
    <font>
      <i/>
      <sz val="11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FF2CC"/>
        <bgColor rgb="FFFFF2CC"/>
      </patternFill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3" fillId="0" borderId="0" xfId="0" applyFont="1"/>
    <xf numFmtId="0" fontId="4" fillId="0" borderId="0" xfId="0" applyFont="1"/>
    <xf numFmtId="0" fontId="0" fillId="3" borderId="0" xfId="0" applyFill="1"/>
    <xf numFmtId="0" fontId="6" fillId="0" borderId="0" xfId="0" applyFont="1"/>
    <xf numFmtId="0" fontId="7" fillId="0" borderId="0" xfId="0" applyFont="1"/>
    <xf numFmtId="164" fontId="5" fillId="0" borderId="1" xfId="0" applyNumberFormat="1" applyFont="1" applyBorder="1"/>
    <xf numFmtId="0" fontId="2" fillId="2" borderId="1" xfId="0" applyFont="1" applyFill="1" applyBorder="1"/>
    <xf numFmtId="164" fontId="4" fillId="4" borderId="1" xfId="0" applyNumberFormat="1" applyFont="1" applyFill="1" applyBorder="1"/>
    <xf numFmtId="10" fontId="0" fillId="0" borderId="1" xfId="0" applyNumberFormat="1" applyBorder="1"/>
    <xf numFmtId="0" fontId="0" fillId="0" borderId="1" xfId="0" applyBorder="1"/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1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C16" sqref="C16"/>
    </sheetView>
  </sheetViews>
  <sheetFormatPr defaultRowHeight="15" x14ac:dyDescent="0.25"/>
  <cols>
    <col min="1" max="1" width="56" customWidth="1"/>
    <col min="2" max="2" width="37.5703125" customWidth="1"/>
    <col min="3" max="3" width="11.7109375" bestFit="1" customWidth="1"/>
    <col min="4" max="4" width="17.28515625" bestFit="1" customWidth="1"/>
    <col min="5" max="5" width="140" customWidth="1"/>
    <col min="6" max="6" width="8" customWidth="1"/>
    <col min="7" max="7" width="9" customWidth="1"/>
  </cols>
  <sheetData>
    <row r="1" spans="1:7" ht="18.75" x14ac:dyDescent="0.3">
      <c r="A1" s="1" t="s">
        <v>0</v>
      </c>
    </row>
    <row r="3" spans="1:7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5.75" x14ac:dyDescent="0.25">
      <c r="A4" s="2" t="s">
        <v>8</v>
      </c>
      <c r="B4" s="3">
        <v>150000</v>
      </c>
      <c r="C4" s="3">
        <v>160000</v>
      </c>
      <c r="D4" s="3">
        <v>155000</v>
      </c>
      <c r="E4" s="3">
        <v>170000</v>
      </c>
      <c r="F4" s="3">
        <v>165000</v>
      </c>
      <c r="G4" s="3">
        <v>180000</v>
      </c>
    </row>
    <row r="5" spans="1:7" ht="15.75" x14ac:dyDescent="0.25">
      <c r="A5" s="2" t="s">
        <v>9</v>
      </c>
      <c r="B5" s="3">
        <v>120000</v>
      </c>
      <c r="C5" s="3">
        <v>125000</v>
      </c>
      <c r="D5" s="3">
        <v>130000</v>
      </c>
      <c r="E5" s="3">
        <v>135000</v>
      </c>
      <c r="F5" s="3">
        <v>140000</v>
      </c>
      <c r="G5" s="3">
        <v>145000</v>
      </c>
    </row>
    <row r="6" spans="1:7" ht="15.75" x14ac:dyDescent="0.25">
      <c r="A6" s="2" t="s">
        <v>10</v>
      </c>
      <c r="B6" s="3">
        <v>90000</v>
      </c>
      <c r="C6" s="3">
        <v>95000</v>
      </c>
      <c r="D6" s="3">
        <v>92000</v>
      </c>
      <c r="E6" s="3">
        <v>98000</v>
      </c>
      <c r="F6" s="3">
        <v>105000</v>
      </c>
      <c r="G6" s="3">
        <v>110000</v>
      </c>
    </row>
    <row r="7" spans="1:7" ht="15.75" x14ac:dyDescent="0.25">
      <c r="A7" s="2" t="s">
        <v>11</v>
      </c>
      <c r="B7" s="3">
        <v>110000</v>
      </c>
      <c r="C7" s="3">
        <v>115000</v>
      </c>
      <c r="D7" s="3">
        <v>112000</v>
      </c>
      <c r="E7" s="3">
        <v>118000</v>
      </c>
      <c r="F7" s="3">
        <v>125000</v>
      </c>
      <c r="G7" s="3">
        <v>130000</v>
      </c>
    </row>
    <row r="10" spans="1:7" ht="15.75" x14ac:dyDescent="0.25">
      <c r="A10" s="4" t="s">
        <v>12</v>
      </c>
    </row>
    <row r="12" spans="1:7" x14ac:dyDescent="0.25">
      <c r="A12" s="5" t="s">
        <v>13</v>
      </c>
      <c r="B12" s="6" t="s">
        <v>4</v>
      </c>
      <c r="D12" t="s">
        <v>14</v>
      </c>
      <c r="E12" s="7"/>
    </row>
    <row r="13" spans="1:7" x14ac:dyDescent="0.25">
      <c r="A13" s="5" t="s">
        <v>15</v>
      </c>
      <c r="B13" s="6" t="s">
        <v>9</v>
      </c>
      <c r="D13" t="s">
        <v>16</v>
      </c>
      <c r="E13" s="8" t="s">
        <v>17</v>
      </c>
    </row>
    <row r="14" spans="1:7" ht="15.75" x14ac:dyDescent="0.25">
      <c r="A14" s="5" t="s">
        <v>18</v>
      </c>
      <c r="B14" s="9"/>
    </row>
    <row r="27" spans="2:2" x14ac:dyDescent="0.25">
      <c r="B27" s="17">
        <f>IFERROR(HLOOKUP(B12, A3:G7, MATCH(B13, A3:A7, 0), FALSE), "Kayıt Bulunamadı")</f>
        <v>130000</v>
      </c>
    </row>
  </sheetData>
  <dataValidations count="2">
    <dataValidation type="list" allowBlank="1" sqref="B12" xr:uid="{00000000-0002-0000-0000-000000000000}">
      <formula1>"Ocak,Şubat,Mart,Nisan,Mayıs,Haziran"</formula1>
    </dataValidation>
    <dataValidation type="list" allowBlank="1" sqref="B13" xr:uid="{00000000-0002-0000-0000-000001000000}">
      <formula1>"Marmara,Ege,İç Anadolu,Akdeniz"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selection activeCell="D11" sqref="D11"/>
    </sheetView>
  </sheetViews>
  <sheetFormatPr defaultRowHeight="15" x14ac:dyDescent="0.25"/>
  <cols>
    <col min="1" max="1" width="46.42578125" customWidth="1"/>
    <col min="2" max="2" width="19" customWidth="1"/>
    <col min="3" max="4" width="35" customWidth="1"/>
    <col min="5" max="5" width="15" customWidth="1"/>
    <col min="6" max="6" width="11.7109375" bestFit="1" customWidth="1"/>
  </cols>
  <sheetData>
    <row r="1" spans="1:6" ht="18.75" x14ac:dyDescent="0.3">
      <c r="A1" s="1" t="s">
        <v>19</v>
      </c>
    </row>
    <row r="3" spans="1:6" ht="15.75" x14ac:dyDescent="0.25">
      <c r="A3" s="10" t="s">
        <v>20</v>
      </c>
      <c r="B3" s="11">
        <v>0</v>
      </c>
      <c r="C3" s="11">
        <v>50000</v>
      </c>
      <c r="D3" s="11">
        <v>100000</v>
      </c>
      <c r="E3" s="11">
        <v>250000</v>
      </c>
      <c r="F3" s="11">
        <v>500000</v>
      </c>
    </row>
    <row r="4" spans="1:6" ht="15.75" x14ac:dyDescent="0.25">
      <c r="A4" s="10" t="s">
        <v>21</v>
      </c>
      <c r="B4" s="12">
        <v>0.02</v>
      </c>
      <c r="C4" s="12">
        <v>0.05</v>
      </c>
      <c r="D4" s="12">
        <v>0.08</v>
      </c>
      <c r="E4" s="12">
        <v>0.12</v>
      </c>
      <c r="F4" s="12">
        <v>0.15</v>
      </c>
    </row>
    <row r="5" spans="1:6" ht="15.75" x14ac:dyDescent="0.25">
      <c r="A5" s="10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13" t="s">
        <v>27</v>
      </c>
    </row>
    <row r="8" spans="1:6" ht="15.75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6" x14ac:dyDescent="0.25">
      <c r="A9" s="13" t="s">
        <v>33</v>
      </c>
      <c r="B9" s="3">
        <v>45000</v>
      </c>
      <c r="C9" s="14"/>
      <c r="D9" s="15" t="str">
        <f>HLOOKUP(B9, $B$3:$F$5, 3, TRUE)</f>
        <v>Bronz</v>
      </c>
      <c r="E9" s="16"/>
      <c r="F9" t="s">
        <v>38</v>
      </c>
    </row>
    <row r="10" spans="1:6" x14ac:dyDescent="0.25">
      <c r="A10" s="13" t="s">
        <v>34</v>
      </c>
      <c r="B10" s="3">
        <v>120000</v>
      </c>
      <c r="C10" s="14"/>
      <c r="D10" s="15" t="str">
        <f>HLOOKUP(B10, $B$3:$F$5, 3, TRUE)</f>
        <v>Altın</v>
      </c>
      <c r="E10" s="16"/>
      <c r="F10" t="s">
        <v>39</v>
      </c>
    </row>
    <row r="11" spans="1:6" x14ac:dyDescent="0.25">
      <c r="A11" s="13" t="s">
        <v>35</v>
      </c>
      <c r="B11" s="3">
        <v>85000</v>
      </c>
      <c r="C11" s="14"/>
      <c r="D11" s="15" t="str">
        <f>HLOOKUP(B11, $B$3:$F$5, 3, TRUE)</f>
        <v>Gümüş</v>
      </c>
      <c r="E11" s="16"/>
      <c r="F11" t="s">
        <v>40</v>
      </c>
    </row>
    <row r="12" spans="1:6" x14ac:dyDescent="0.25">
      <c r="A12" s="13" t="s">
        <v>36</v>
      </c>
      <c r="B12" s="3">
        <v>300000</v>
      </c>
      <c r="C12" s="14"/>
      <c r="D12" s="15" t="str">
        <f>HLOOKUP(B12, $B$3:$F$5, 3, TRUE)</f>
        <v>Platin</v>
      </c>
      <c r="E12" s="16"/>
      <c r="F12" t="s">
        <v>41</v>
      </c>
    </row>
    <row r="13" spans="1:6" x14ac:dyDescent="0.25">
      <c r="A13" s="13" t="s">
        <v>37</v>
      </c>
      <c r="B13" s="3">
        <v>650000</v>
      </c>
      <c r="C13" s="14"/>
      <c r="D13" s="15" t="str">
        <f>HLOOKUP(B13, $B$3:$F$5, 3, TRUE)</f>
        <v>Elmas</v>
      </c>
      <c r="E13" s="16"/>
      <c r="F13" t="s">
        <v>42</v>
      </c>
    </row>
    <row r="27" spans="3:3" x14ac:dyDescent="0.25">
      <c r="C27" s="17">
        <f>HLOOKUP(B9, $B$3:$F$5, 2, TRUE)</f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1_Dinamik_Satir_Indisi</vt:lpstr>
      <vt:lpstr>2_Yaklasik_Eslesme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OGRETMEN</cp:lastModifiedBy>
  <dcterms:created xsi:type="dcterms:W3CDTF">2026-09-30T12:13:06Z</dcterms:created>
  <dcterms:modified xsi:type="dcterms:W3CDTF">2026-09-30T12:56:52Z</dcterms:modified>
</cp:coreProperties>
</file>