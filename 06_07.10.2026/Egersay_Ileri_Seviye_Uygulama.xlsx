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ariş_Verileri" sheetId="1" state="visible" r:id="rId1"/>
    <sheet xmlns:r="http://schemas.openxmlformats.org/officeDocument/2006/relationships" name="EĞERSAY_Uygulamalar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0.0 &quot;gün&quot;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E9EEF4"/>
        <bgColor rgb="00E9EEF4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right"/>
    </xf>
    <xf numFmtId="1" fontId="4" fillId="4" borderId="1" applyAlignment="1" pivotButton="0" quotePrefix="0" xfId="0">
      <alignment horizontal="right"/>
    </xf>
    <xf numFmtId="0" fontId="5" fillId="5" borderId="2" applyAlignment="1" pivotButton="0" quotePrefix="0" xfId="0">
      <alignment horizontal="left"/>
    </xf>
    <xf numFmtId="0" fontId="0" fillId="5" borderId="2" pivotButton="0" quotePrefix="0" xfId="0"/>
    <xf numFmtId="164" fontId="5" fillId="5" borderId="2" applyAlignment="1" pivotButton="0" quotePrefix="0" xfId="0">
      <alignment horizontal="right"/>
    </xf>
    <xf numFmtId="165" fontId="5" fillId="5" borderId="2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23" customWidth="1" min="4" max="4"/>
    <col width="18" customWidth="1" min="5" max="5"/>
    <col width="14" customWidth="1" min="6" max="6"/>
    <col width="18" customWidth="1" min="7" max="7"/>
  </cols>
  <sheetData>
    <row r="1">
      <c r="A1" s="1" t="inlineStr">
        <is>
          <t>İLERİ SEVİYE SATIŞ VE OPERASYON TABLOSU</t>
        </is>
      </c>
    </row>
    <row r="2">
      <c r="A2" s="2" t="inlineStr">
        <is>
          <t>EĞERSAY ve ÇOKEĞERSAY Analiz Veri Kümesi</t>
        </is>
      </c>
    </row>
    <row r="3"/>
    <row r="4">
      <c r="A4" s="3" t="inlineStr">
        <is>
          <t>Sipariş No</t>
        </is>
      </c>
      <c r="B4" s="3" t="inlineStr">
        <is>
          <t>Temsilci</t>
        </is>
      </c>
      <c r="C4" s="3" t="inlineStr">
        <is>
          <t>Bölge</t>
        </is>
      </c>
      <c r="D4" s="3" t="inlineStr">
        <is>
          <t>Ürün Grubu</t>
        </is>
      </c>
      <c r="E4" s="3" t="inlineStr">
        <is>
          <t>Tutar (TL)</t>
        </is>
      </c>
      <c r="F4" s="3" t="inlineStr">
        <is>
          <t>Durum</t>
        </is>
      </c>
      <c r="G4" s="3" t="inlineStr">
        <is>
          <t>Teslimat (Gün)</t>
        </is>
      </c>
    </row>
    <row r="5">
      <c r="A5" s="4" t="inlineStr">
        <is>
          <t>ORD-101</t>
        </is>
      </c>
      <c r="B5" s="5" t="inlineStr">
        <is>
          <t>Ahmet Yılmaz</t>
        </is>
      </c>
      <c r="C5" s="5" t="inlineStr">
        <is>
          <t>Marmara-Doğu</t>
        </is>
      </c>
      <c r="D5" s="5" t="inlineStr">
        <is>
          <t>Yazılım Lisans</t>
        </is>
      </c>
      <c r="E5" s="6" t="n">
        <v>85000</v>
      </c>
      <c r="F5" s="4" t="inlineStr">
        <is>
          <t>Tamamlandı</t>
        </is>
      </c>
      <c r="G5" s="7" t="n">
        <v>3</v>
      </c>
    </row>
    <row r="6">
      <c r="A6" s="8" t="inlineStr">
        <is>
          <t>ORD-102</t>
        </is>
      </c>
      <c r="B6" s="9" t="inlineStr">
        <is>
          <t>Ayşe Kaya</t>
        </is>
      </c>
      <c r="C6" s="9" t="inlineStr">
        <is>
          <t>Ege-Kuzey</t>
        </is>
      </c>
      <c r="D6" s="9" t="inlineStr">
        <is>
          <t>Donanım</t>
        </is>
      </c>
      <c r="E6" s="10" t="n">
        <v>42000</v>
      </c>
      <c r="F6" s="8" t="inlineStr">
        <is>
          <t>Beklemede</t>
        </is>
      </c>
      <c r="G6" s="11" t="n">
        <v>7</v>
      </c>
    </row>
    <row r="7">
      <c r="A7" s="4" t="inlineStr">
        <is>
          <t>ORD-103</t>
        </is>
      </c>
      <c r="B7" s="5" t="inlineStr">
        <is>
          <t>Mehmet Demir</t>
        </is>
      </c>
      <c r="C7" s="5" t="inlineStr">
        <is>
          <t>Marmara-Batı</t>
        </is>
      </c>
      <c r="D7" s="5" t="inlineStr">
        <is>
          <t>Yazılım Danışmanlık</t>
        </is>
      </c>
      <c r="E7" s="6" t="n">
        <v>120000</v>
      </c>
      <c r="F7" s="4" t="inlineStr">
        <is>
          <t>Tamamlandı</t>
        </is>
      </c>
      <c r="G7" s="7" t="n">
        <v>12</v>
      </c>
    </row>
    <row r="8">
      <c r="A8" s="8" t="inlineStr">
        <is>
          <t>ORD-104</t>
        </is>
      </c>
      <c r="B8" s="9" t="inlineStr">
        <is>
          <t>Ahmet Yılmaz</t>
        </is>
      </c>
      <c r="C8" s="9" t="inlineStr">
        <is>
          <t>İç Anadolu</t>
        </is>
      </c>
      <c r="D8" s="9" t="inlineStr">
        <is>
          <t>Bulut Hizmetleri</t>
        </is>
      </c>
      <c r="E8" s="10" t="n">
        <v>18000</v>
      </c>
      <c r="F8" s="8" t="inlineStr">
        <is>
          <t>İptal</t>
        </is>
      </c>
      <c r="G8" s="11" t="n">
        <v>2</v>
      </c>
    </row>
    <row r="9">
      <c r="A9" s="4" t="inlineStr">
        <is>
          <t>ORD-105</t>
        </is>
      </c>
      <c r="B9" s="5" t="inlineStr">
        <is>
          <t>Zeynep Şahin</t>
        </is>
      </c>
      <c r="C9" s="5" t="inlineStr">
        <is>
          <t>Ege-Güney</t>
        </is>
      </c>
      <c r="D9" s="5" t="inlineStr">
        <is>
          <t>Yazılım Lisans</t>
        </is>
      </c>
      <c r="E9" s="6" t="n">
        <v>65000</v>
      </c>
      <c r="F9" s="4" t="inlineStr">
        <is>
          <t>Tamamlandı</t>
        </is>
      </c>
      <c r="G9" s="7" t="n">
        <v>5</v>
      </c>
    </row>
    <row r="10">
      <c r="A10" s="8" t="inlineStr">
        <is>
          <t>ORD-106</t>
        </is>
      </c>
      <c r="B10" s="9" t="inlineStr">
        <is>
          <t>Ayşe Kaya</t>
        </is>
      </c>
      <c r="C10" s="9" t="inlineStr">
        <is>
          <t>Marmara-Doğu</t>
        </is>
      </c>
      <c r="D10" s="9" t="inlineStr">
        <is>
          <t>Bulut Hizmetleri</t>
        </is>
      </c>
      <c r="E10" s="10" t="n">
        <v>95000</v>
      </c>
      <c r="F10" s="8" t="inlineStr">
        <is>
          <t>Tamamlandı</t>
        </is>
      </c>
      <c r="G10" s="11" t="n">
        <v>4</v>
      </c>
    </row>
    <row r="11">
      <c r="A11" s="4" t="inlineStr">
        <is>
          <t>ORD-107</t>
        </is>
      </c>
      <c r="B11" s="5" t="inlineStr">
        <is>
          <t>Mehmet Demir</t>
        </is>
      </c>
      <c r="C11" s="5" t="inlineStr">
        <is>
          <t>İç Anadolu</t>
        </is>
      </c>
      <c r="D11" s="5" t="inlineStr">
        <is>
          <t>Donanım</t>
        </is>
      </c>
      <c r="E11" s="6" t="n">
        <v>30000</v>
      </c>
      <c r="F11" s="4" t="inlineStr">
        <is>
          <t>Beklemede</t>
        </is>
      </c>
      <c r="G11" s="7" t="n">
        <v>8</v>
      </c>
    </row>
    <row r="12">
      <c r="A12" s="8" t="inlineStr">
        <is>
          <t>ORD-108</t>
        </is>
      </c>
      <c r="B12" s="9" t="inlineStr">
        <is>
          <t>Can Erdem</t>
        </is>
      </c>
      <c r="C12" s="9" t="inlineStr">
        <is>
          <t>Akdeniz</t>
        </is>
      </c>
      <c r="D12" s="9" t="inlineStr">
        <is>
          <t>Yazılım Danışmanlık</t>
        </is>
      </c>
      <c r="E12" s="10" t="n">
        <v>150000</v>
      </c>
      <c r="F12" s="8" t="inlineStr">
        <is>
          <t>Tamamlandı</t>
        </is>
      </c>
      <c r="G12" s="11" t="n">
        <v>15</v>
      </c>
    </row>
    <row r="13">
      <c r="A13" s="4" t="inlineStr">
        <is>
          <t>ORD-109</t>
        </is>
      </c>
      <c r="B13" s="5" t="inlineStr">
        <is>
          <t>Ahmet Yılmaz</t>
        </is>
      </c>
      <c r="C13" s="5" t="inlineStr">
        <is>
          <t>Marmara-Batı</t>
        </is>
      </c>
      <c r="D13" s="5" t="inlineStr">
        <is>
          <t>Donanım</t>
        </is>
      </c>
      <c r="E13" s="6" t="n">
        <v>22000</v>
      </c>
      <c r="F13" s="4" t="inlineStr">
        <is>
          <t>Tamamlandı</t>
        </is>
      </c>
      <c r="G13" s="7" t="n">
        <v>1</v>
      </c>
    </row>
    <row r="14">
      <c r="A14" s="8" t="inlineStr">
        <is>
          <t>ORD-110</t>
        </is>
      </c>
      <c r="B14" s="9" t="inlineStr">
        <is>
          <t>Zeynep Şahin</t>
        </is>
      </c>
      <c r="C14" s="9" t="inlineStr">
        <is>
          <t>Akdeniz</t>
        </is>
      </c>
      <c r="D14" s="9" t="inlineStr">
        <is>
          <t>Bulut Hizmetleri</t>
        </is>
      </c>
      <c r="E14" s="10" t="n">
        <v>70000</v>
      </c>
      <c r="F14" s="8" t="inlineStr">
        <is>
          <t>Tamamlandı</t>
        </is>
      </c>
      <c r="G14" s="11" t="n">
        <v>6</v>
      </c>
    </row>
    <row r="15">
      <c r="A15" s="12" t="inlineStr">
        <is>
          <t>Toplam / Ortalama</t>
        </is>
      </c>
      <c r="B15" s="13" t="n"/>
      <c r="C15" s="13" t="n"/>
      <c r="D15" s="13" t="n"/>
      <c r="E15" s="14">
        <f>SUM(E5:E14)</f>
        <v/>
      </c>
      <c r="F15" s="13" t="n"/>
      <c r="G15" s="15">
        <f>AVERAGE(G5:G14)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5" customWidth="1" min="3" max="3"/>
    <col width="50" customWidth="1" min="4" max="4"/>
    <col width="50" customWidth="1" min="5" max="5"/>
    <col width="22" customWidth="1" min="6" max="6"/>
  </cols>
  <sheetData>
    <row r="1">
      <c r="A1" s="1" t="inlineStr">
        <is>
          <t>EĞERSAY &amp; ÇOKEĞERSAY İLERİ SEVİYE FORMÜL SENARYOLARI</t>
        </is>
      </c>
    </row>
    <row r="2">
      <c r="A2" s="2" t="inlineStr">
        <is>
          <t>Aşağıdaki tabloda her bir senaryo için dinamik Excel formülleri ve canlı sonuçları yer almaktadır.</t>
        </is>
      </c>
    </row>
    <row r="3"/>
    <row r="4">
      <c r="A4" s="3" t="inlineStr">
        <is>
          <t>No</t>
        </is>
      </c>
      <c r="B4" s="3" t="inlineStr">
        <is>
          <t>Senaryo &amp; Amaç</t>
        </is>
      </c>
      <c r="C4" s="3" t="inlineStr">
        <is>
          <t>Kriterler / Açıklama</t>
        </is>
      </c>
      <c r="D4" s="3" t="inlineStr">
        <is>
          <t>Türkçe Formül</t>
        </is>
      </c>
      <c r="E4" s="3" t="inlineStr">
        <is>
          <t>İngilizce Formül</t>
        </is>
      </c>
      <c r="F4" s="3" t="inlineStr">
        <is>
          <t>Formül Çıktısı (Canlı)</t>
        </is>
      </c>
    </row>
    <row r="5">
      <c r="A5" s="4" t="n">
        <v>1</v>
      </c>
      <c r="B5" s="5" t="inlineStr">
        <is>
          <t>Joker Karakterlerle Esnek Metin Arama (*, ?)</t>
        </is>
      </c>
      <c r="C5" s="5" t="inlineStr">
        <is>
          <t>Bölge 'Marmara' ile başlayan VE Ürün Grubu 'Yazılım' içeren siparişler</t>
        </is>
      </c>
      <c r="D5" s="5">
        <f>ÇOKEĞERSAY(Sipariş_Verileri!C5:C14; "Marmara*"; Sipariş_Verileri!D5:D14; "*Yazılım*")</f>
        <v/>
      </c>
      <c r="E5" s="5">
        <f>COUNTIFS(Sipariş_Verileri!C5:C14, "Marmara*", Sipariş_Verileri!D5:D14, "*Yazılım*")</f>
        <v/>
      </c>
      <c r="F5" s="16">
        <f>COUNTIFS(Sipariş_Verileri!C5:C14, "Marmara*", Sipariş_Verileri!D5:D14, "*Yazılım*")</f>
        <v/>
      </c>
    </row>
    <row r="6">
      <c r="A6" s="8" t="n">
        <v>2</v>
      </c>
      <c r="B6" s="9" t="inlineStr">
        <is>
          <t>Dinamik Hücre Referansı &amp; Mantıksal Operatörler</t>
        </is>
      </c>
      <c r="C6" s="9" t="inlineStr">
        <is>
          <t>Tutar &gt; 50.000 TL VE Teslimat &gt; 4 Gün VE Durum = 'Tamamlandı'</t>
        </is>
      </c>
      <c r="D6" s="9">
        <f>ÇOKEĞERSAY(Sipariş_Verileri!E5:E14; "&gt;50000"; Sipariş_Verileri!G5:G14; "&gt;4"; Sipariş_Verileri!F5:F14; "Tamamlandı")</f>
        <v/>
      </c>
      <c r="E6" s="9">
        <f>COUNTIFS(Sipariş_Verileri!E5:E14, "&gt;50000", Sipariş_Verileri!G5:G14, "&gt;4", Sipariş_Verileri!F5:F14, "Tamamlandı")</f>
        <v/>
      </c>
      <c r="F6" s="17">
        <f>COUNTIFS(Sipariş_Verileri!E5:E14, "&gt;50000", Sipariş_Verileri!G5:G14, "&gt;4", Sipariş_Verileri!F5:F14, "Tamamlandı")</f>
        <v/>
      </c>
    </row>
    <row r="7">
      <c r="A7" s="4" t="n">
        <v>3</v>
      </c>
      <c r="B7" s="5" t="inlineStr">
        <is>
          <t>Dizi Sabitleri ile VEYA (OR) Mantığı</t>
        </is>
      </c>
      <c r="C7" s="5" t="inlineStr">
        <is>
          <t>Temsilci 'Ahmet Yılmaz' VEYA 'Ayşe Kaya' VE Durum = 'Tamamlandı'</t>
        </is>
      </c>
      <c r="D7" s="5">
        <f>TOPLA(ÇOKEĞERSAY(Sipariş_Verileri!B5:B14; {"Ahmet Yılmaz";"Ayşe Kaya"}; Sipariş_Verileri!F5:F14; "Tamamlandı"))</f>
        <v/>
      </c>
      <c r="E7" s="5">
        <f>SUM(COUNTIFS(Sipariş_Verileri!B5:B14, {"Ahmet Yılmaz","Ayşe Kaya"}, Sipariş_Verileri!F5:F14, "Tamamlandı"))</f>
        <v/>
      </c>
      <c r="F7" s="16">
        <f>SUM(COUNTIFS(Sipariş_Verileri!B5:B14, {"Ahmet Yılmaz","Ayşe Kaya"}, Sipariş_Verileri!F5:F14, "Tamamlandı"))</f>
        <v/>
      </c>
    </row>
    <row r="8">
      <c r="A8" s="8" t="n">
        <v>4</v>
      </c>
      <c r="B8" s="9" t="inlineStr">
        <is>
          <t>Statik ve Dinamik Fonksiyon İç İçe Kullanımı</t>
        </is>
      </c>
      <c r="C8" s="9" t="inlineStr">
        <is>
          <t>Ortalama tutardan (&gt; 69.700 TL) yüksek olan siparişlerin sayısı</t>
        </is>
      </c>
      <c r="D8" s="9">
        <f>EĞERSAY(Sipariş_Verileri!E5:E14; "&gt;"&amp;ORTALAMA(Sipariş_Verileri!E5:E14))</f>
        <v/>
      </c>
      <c r="E8" s="9">
        <f>COUNTIF(Sipariş_Verileri!E5:E14, "&gt;"&amp;AVERAGE(Sipariş_Verileri!E5:E14))</f>
        <v/>
      </c>
      <c r="F8" s="17">
        <f>COUNTIF(Sipariş_Verileri!E5:E14, "&gt;"&amp;AVERAGE(Sipariş_Verileri!E5:E14))</f>
        <v/>
      </c>
    </row>
    <row r="9">
      <c r="A9" s="4" t="n">
        <v>5</v>
      </c>
      <c r="B9" s="5" t="inlineStr">
        <is>
          <t>TOPLA.ÇARPIM + EĞERSAY ile Benzersiz Sayım</t>
        </is>
      </c>
      <c r="C9" s="5" t="inlineStr">
        <is>
          <t>Tablodaki kaç farklı/tekil temsilci olduğunu bulma</t>
        </is>
      </c>
      <c r="D9" s="5">
        <f>TOPLA.ÇARPIM(1/EĞERSAY(Sipariş_Verileri!B5:B14; Sipariş_Verileri!B5:B14))</f>
        <v/>
      </c>
      <c r="E9" s="5">
        <f>SUMPRODUCT(1/COUNTIF(Sipariş_Verileri!B5:B14, Sipariş_Verileri!B5:B14))</f>
        <v/>
      </c>
      <c r="F9" s="16">
        <f>SUMPRODUCT(1/COUNTIF(Sipariş_Verileri!B5:B14, Sipariş_Verileri!B5:B14))</f>
        <v/>
      </c>
    </row>
    <row r="10"/>
    <row r="11"/>
    <row r="12">
      <c r="A12" s="18" t="inlineStr">
        <is>
          <t>DİNANMİK ETKİLEŞİMLİ PARAMETRE ALANI</t>
        </is>
      </c>
    </row>
    <row r="13">
      <c r="A13" s="19" t="inlineStr">
        <is>
          <t>Min Tutar Eşiği (TL):</t>
        </is>
      </c>
      <c r="B13" s="20" t="n">
        <v>50000</v>
      </c>
    </row>
    <row r="14">
      <c r="A14" s="19" t="inlineStr">
        <is>
          <t>Min Teslimat Eşiği (Gün):</t>
        </is>
      </c>
      <c r="B14" s="18" t="n">
        <v>4</v>
      </c>
    </row>
    <row r="15">
      <c r="A15" s="18" t="inlineStr">
        <is>
          <t>Parametrik Dinamik ÇOKEĞERSAY Sonucu:</t>
        </is>
      </c>
      <c r="B15" s="21">
        <f>COUNTIFS(Sipariş_Verileri!E5:E14, "&gt;"&amp;B13, Sipariş_Verileri!G5:G14, "&gt;"&amp;B14, Sipariş_Verileri!F5:F14, "Tamamlandı")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2026-10-07T10:37:14Z</dcterms:created>
  <dcterms:modified xmlns:dcterms="http://purl.org/dc/terms/" xmlns:xsi="http://www.w3.org/2001/XMLSchema-instance" xsi:type="dcterms:W3CDTF">2026-10-07T10:37:14Z</dcterms:modified>
</cp:coreProperties>
</file>