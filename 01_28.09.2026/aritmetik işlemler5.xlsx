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F2A6A33-09AF-4C03-ADD4-C03990EE697C}" xr6:coauthVersionLast="47" xr6:coauthVersionMax="47" xr10:uidLastSave="{00000000-0000-0000-0000-000000000000}"/>
  <bookViews>
    <workbookView xWindow="-120" yWindow="-120" windowWidth="24240" windowHeight="13140" xr2:uid="{BD4D1BA9-7DC8-441C-B14D-6D8F9AF93E30}"/>
  </bookViews>
  <sheets>
    <sheet name="Satış &amp; Performans Analiz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1" l="1"/>
  <c r="C14" i="1"/>
  <c r="E4" i="1"/>
  <c r="E5" i="1"/>
  <c r="E6" i="1"/>
  <c r="E7" i="1"/>
  <c r="E8" i="1"/>
  <c r="E9" i="1"/>
  <c r="E10" i="1"/>
  <c r="E11" i="1"/>
  <c r="E12" i="1"/>
  <c r="E13" i="1"/>
</calcChain>
</file>

<file path=xl/sharedStrings.xml><?xml version="1.0" encoding="utf-8"?>
<sst xmlns="http://schemas.openxmlformats.org/spreadsheetml/2006/main" count="27" uniqueCount="21">
  <si>
    <t>Gelişmiş Satış, Prim ve KDV Analiz Tablosu</t>
  </si>
  <si>
    <t>Personel Adı</t>
  </si>
  <si>
    <t>Bölge</t>
  </si>
  <si>
    <t>Aylık Hedef (₺)</t>
  </si>
  <si>
    <t>Gerçekleşen Satış (₺)</t>
  </si>
  <si>
    <t>Hedef Ulaşma Oranı</t>
  </si>
  <si>
    <t>Ahmet Yılmaz</t>
  </si>
  <si>
    <t>Marmara</t>
  </si>
  <si>
    <t>Ayşe Kaya</t>
  </si>
  <si>
    <t>Ege</t>
  </si>
  <si>
    <t>Mehmet Demir</t>
  </si>
  <si>
    <t>Fatma Şahin</t>
  </si>
  <si>
    <t>İç Anadolu</t>
  </si>
  <si>
    <t>Can Öztürk</t>
  </si>
  <si>
    <t>Akdeniz</t>
  </si>
  <si>
    <t>Zeynep Çelik</t>
  </si>
  <si>
    <t>Burak Arslan</t>
  </si>
  <si>
    <t>Elif Aydın</t>
  </si>
  <si>
    <t>Gökhan Yıldız</t>
  </si>
  <si>
    <t>Selin Doğan</t>
  </si>
  <si>
    <t>GENEL TOPLAM / 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</si>
</sst>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₺#,##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name val="Segoe UI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164" fontId="4" fillId="4" borderId="2" xfId="0" applyNumberFormat="1" applyFont="1" applyFill="1" applyBorder="1" applyAlignment="1">
      <alignment horizontal="right" vertical="center"/>
    </xf>
    <xf numFmtId="165" fontId="4" fillId="4" borderId="2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9" fontId="3" fillId="3" borderId="1" xfId="1" applyFont="1" applyFill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</cellXfs>
  <cellStyles count="2">
    <cellStyle name="Normal" xfId="0" builtinId="0"/>
    <cellStyle name="Yüzde" xfId="1" builtinId="5"/>
  </cellStyles>
  <dxfs count="6"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AD244-B217-4A14-A247-EE517511136C}">
  <dimension ref="A1:E14"/>
  <sheetViews>
    <sheetView tabSelected="1" zoomScale="115" zoomScaleNormal="115" workbookViewId="0">
      <selection activeCell="I9" sqref="I9"/>
    </sheetView>
  </sheetViews>
  <sheetFormatPr defaultRowHeight="15" x14ac:dyDescent="0.25"/>
  <cols>
    <col min="1" max="1" width="27.85546875" bestFit="1" customWidth="1"/>
    <col min="2" max="2" width="9.7109375" bestFit="1" customWidth="1"/>
    <col min="3" max="3" width="14.42578125" bestFit="1" customWidth="1"/>
    <col min="4" max="4" width="19.42578125" bestFit="1" customWidth="1"/>
    <col min="5" max="5" width="19" bestFit="1" customWidth="1"/>
  </cols>
  <sheetData>
    <row r="1" spans="1:5" ht="35.1" customHeight="1" x14ac:dyDescent="0.25">
      <c r="A1" s="12" t="s">
        <v>0</v>
      </c>
      <c r="B1" s="13"/>
      <c r="C1" s="13"/>
      <c r="D1" s="13"/>
      <c r="E1" s="13"/>
    </row>
    <row r="3" spans="1:5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0.100000000000001" customHeight="1" x14ac:dyDescent="0.25">
      <c r="A4" s="2" t="s">
        <v>6</v>
      </c>
      <c r="B4" s="3" t="s">
        <v>7</v>
      </c>
      <c r="C4" s="4">
        <v>150000</v>
      </c>
      <c r="D4" s="4">
        <v>175000</v>
      </c>
      <c r="E4" s="14">
        <f t="shared" ref="E4:E13" si="0">D4/C4</f>
        <v>1.1666666666666667</v>
      </c>
    </row>
    <row r="5" spans="1:5" ht="20.100000000000001" customHeight="1" x14ac:dyDescent="0.25">
      <c r="A5" s="5" t="s">
        <v>8</v>
      </c>
      <c r="B5" s="6" t="s">
        <v>9</v>
      </c>
      <c r="C5" s="7">
        <v>120000</v>
      </c>
      <c r="D5" s="7">
        <v>110000</v>
      </c>
      <c r="E5" s="15">
        <f t="shared" si="0"/>
        <v>0.91666666666666663</v>
      </c>
    </row>
    <row r="6" spans="1:5" ht="20.100000000000001" customHeight="1" x14ac:dyDescent="0.25">
      <c r="A6" s="2" t="s">
        <v>10</v>
      </c>
      <c r="B6" s="3" t="s">
        <v>7</v>
      </c>
      <c r="C6" s="4">
        <v>200000</v>
      </c>
      <c r="D6" s="4">
        <v>220000</v>
      </c>
      <c r="E6" s="14">
        <f t="shared" si="0"/>
        <v>1.1000000000000001</v>
      </c>
    </row>
    <row r="7" spans="1:5" ht="20.100000000000001" customHeight="1" x14ac:dyDescent="0.25">
      <c r="A7" s="5" t="s">
        <v>11</v>
      </c>
      <c r="B7" s="6" t="s">
        <v>12</v>
      </c>
      <c r="C7" s="7">
        <v>100000</v>
      </c>
      <c r="D7" s="7">
        <v>85000</v>
      </c>
      <c r="E7" s="15">
        <f t="shared" si="0"/>
        <v>0.85</v>
      </c>
    </row>
    <row r="8" spans="1:5" ht="20.100000000000001" customHeight="1" x14ac:dyDescent="0.25">
      <c r="A8" s="2" t="s">
        <v>13</v>
      </c>
      <c r="B8" s="3" t="s">
        <v>14</v>
      </c>
      <c r="C8" s="4">
        <v>130000</v>
      </c>
      <c r="D8" s="4">
        <v>145000</v>
      </c>
      <c r="E8" s="14">
        <f t="shared" si="0"/>
        <v>1.1153846153846154</v>
      </c>
    </row>
    <row r="9" spans="1:5" ht="20.100000000000001" customHeight="1" x14ac:dyDescent="0.25">
      <c r="A9" s="5" t="s">
        <v>15</v>
      </c>
      <c r="B9" s="6" t="s">
        <v>9</v>
      </c>
      <c r="C9" s="7">
        <v>110000</v>
      </c>
      <c r="D9" s="7">
        <v>115000</v>
      </c>
      <c r="E9" s="15">
        <f t="shared" si="0"/>
        <v>1.0454545454545454</v>
      </c>
    </row>
    <row r="10" spans="1:5" ht="20.100000000000001" customHeight="1" x14ac:dyDescent="0.25">
      <c r="A10" s="2" t="s">
        <v>16</v>
      </c>
      <c r="B10" s="3" t="s">
        <v>12</v>
      </c>
      <c r="C10" s="4">
        <v>140000</v>
      </c>
      <c r="D10" s="4">
        <v>112000</v>
      </c>
      <c r="E10" s="14">
        <f t="shared" si="0"/>
        <v>0.8</v>
      </c>
    </row>
    <row r="11" spans="1:5" ht="20.100000000000001" customHeight="1" x14ac:dyDescent="0.25">
      <c r="A11" s="5" t="s">
        <v>17</v>
      </c>
      <c r="B11" s="6" t="s">
        <v>7</v>
      </c>
      <c r="C11" s="7">
        <v>180000</v>
      </c>
      <c r="D11" s="7">
        <v>195000</v>
      </c>
      <c r="E11" s="15">
        <f t="shared" si="0"/>
        <v>1.0833333333333333</v>
      </c>
    </row>
    <row r="12" spans="1:5" ht="20.100000000000001" customHeight="1" x14ac:dyDescent="0.25">
      <c r="A12" s="2" t="s">
        <v>18</v>
      </c>
      <c r="B12" s="3" t="s">
        <v>14</v>
      </c>
      <c r="C12" s="4">
        <v>125000</v>
      </c>
      <c r="D12" s="4">
        <v>95000</v>
      </c>
      <c r="E12" s="14">
        <f t="shared" si="0"/>
        <v>0.76</v>
      </c>
    </row>
    <row r="13" spans="1:5" ht="20.100000000000001" customHeight="1" x14ac:dyDescent="0.25">
      <c r="A13" s="5" t="s">
        <v>19</v>
      </c>
      <c r="B13" s="6" t="s">
        <v>9</v>
      </c>
      <c r="C13" s="7">
        <v>160000</v>
      </c>
      <c r="D13" s="7">
        <v>180000</v>
      </c>
      <c r="E13" s="15">
        <f t="shared" si="0"/>
        <v>1.125</v>
      </c>
    </row>
    <row r="14" spans="1:5" ht="21.95" customHeight="1" thickBot="1" x14ac:dyDescent="0.3">
      <c r="A14" s="8" t="s">
        <v>20</v>
      </c>
      <c r="B14" s="9"/>
      <c r="C14" s="10">
        <f>SUM(C4:C13)</f>
        <v>1415000</v>
      </c>
      <c r="D14" s="10">
        <f>AVERAGE(D4:D13)</f>
        <v>143200</v>
      </c>
      <c r="E14" s="11"/>
    </row>
  </sheetData>
  <mergeCells count="1">
    <mergeCell ref="A1:E1"/>
  </mergeCells>
  <conditionalFormatting sqref="E4:E13">
    <cfRule type="cellIs" dxfId="2" priority="2" operator="greaterThanOrEqual">
      <formula>1</formula>
    </cfRule>
    <cfRule type="cellIs" dxfId="1" priority="1" operator="lessThanOrEqual">
      <formula>0.85</formula>
    </cfRule>
  </conditionalFormatting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Satış &amp; Performans Analizi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2026-09-22T11:25:30Z</dcterms:created>
  <dcterms:modified xsi:type="dcterms:W3CDTF">2026-09-22T11:55:38Z</dcterms:modified>
</cp:coreProperties>
</file>