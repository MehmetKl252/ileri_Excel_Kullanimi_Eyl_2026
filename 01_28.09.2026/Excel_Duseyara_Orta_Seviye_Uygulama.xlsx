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6751B40-56BD-43D0-B3A8-0CC7FE836E1D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Düşeyara_Sorgu_Paneli" sheetId="1" r:id="rId1"/>
    <sheet name="Urun_Katalogu" sheetId="2" r:id="rId2"/>
    <sheet name="Siparis_Detaylari" sheetId="3" r:id="rId3"/>
    <sheet name="Iskonto_ve_Rehber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D6" i="1"/>
  <c r="B6" i="1"/>
  <c r="G7" i="1"/>
  <c r="D7" i="1"/>
  <c r="B7" i="1"/>
  <c r="F6" i="1" l="1"/>
</calcChain>
</file>

<file path=xl/sharedStrings.xml><?xml version="1.0" encoding="utf-8"?>
<sst xmlns="http://schemas.openxmlformats.org/spreadsheetml/2006/main" count="167" uniqueCount="130">
  <si>
    <t>DÜŞEYARA (VLOOKUP) DİNAMİK ARAMA VE SORGU PANELİ</t>
  </si>
  <si>
    <t>Bu sayfada ürün veya sipariş kodu seçerek DÜŞEYARA formüllerinin canlı sonuçlarını inceleyebilirsiniz.</t>
  </si>
  <si>
    <t>TOPLAM ÜRÜN ÇEŞİDİ</t>
  </si>
  <si>
    <t>TOPLAM SİPARİŞ ADEDİ</t>
  </si>
  <si>
    <t>TOPLAM NET CİRO</t>
  </si>
  <si>
    <t>1. ÜRÜN KODU İLE DETAY SORGULAMA</t>
  </si>
  <si>
    <t>2. SİPARİŞ NO İLE SORGULAMA</t>
  </si>
  <si>
    <t>Aranan Ürün Kodu:</t>
  </si>
  <si>
    <t>PRD-101</t>
  </si>
  <si>
    <t>Aranan Sipariş No:</t>
  </si>
  <si>
    <t>SIP-2026-003</t>
  </si>
  <si>
    <t>Ürün Adı:</t>
  </si>
  <si>
    <t>Sipariş Tarihi:</t>
  </si>
  <si>
    <t>Kategori:</t>
  </si>
  <si>
    <t>Müşteri Adı:</t>
  </si>
  <si>
    <t>Birim Fiyat:</t>
  </si>
  <si>
    <t>Satılan Ürün Kodu:</t>
  </si>
  <si>
    <t>Mevcut Stok:</t>
  </si>
  <si>
    <t>Satılan Ürün Adı:</t>
  </si>
  <si>
    <t>Tedarikçi Firma:</t>
  </si>
  <si>
    <t>Sipariş Miktarı:</t>
  </si>
  <si>
    <t>Stok Durumu:</t>
  </si>
  <si>
    <t>Uygulanan İskonto:</t>
  </si>
  <si>
    <t>Net Toplam Tutar:</t>
  </si>
  <si>
    <t>💡 İPUCU &amp; UYGULAMA NOTLARI</t>
  </si>
  <si>
    <t>1. C10 veya F10 hücrelerindeki sarı açılır kutulardan farklı bir kod seçerek DÜŞEYARA sonuçlarının anlık değişimini izleyebilirsiniz.</t>
  </si>
  <si>
    <t>2. 'Siparis_Detaylari' sayfasında Ürün Adı, Fiyat ve İskonto oranları doğrudan DÜŞEYARA ile otomatik çekilmektedir.</t>
  </si>
  <si>
    <t>3. İskonto hesaplamasında DÜŞEYARA'nın 4. parametresi TRUE (1) verilerek Miktar Kademelerine göre Yaklaşık Eşleşme sağlanmıştır.</t>
  </si>
  <si>
    <t>4. Hatalı veya bulunamayan girdilerde Excel hata mesajını engellemek için tüm formüller EĞERHATA (IFERROR) ile sarmalanmıştır.</t>
  </si>
  <si>
    <t>Ürün Kodu</t>
  </si>
  <si>
    <t>Ürün Adı</t>
  </si>
  <si>
    <t>Kategori</t>
  </si>
  <si>
    <t>Birim Fiyat (TL)</t>
  </si>
  <si>
    <t>Stok Miktarı</t>
  </si>
  <si>
    <t>Tedarikçi Firma</t>
  </si>
  <si>
    <t>Stok Durumu</t>
  </si>
  <si>
    <t>Laptop Pro 15</t>
  </si>
  <si>
    <t>Elektronik</t>
  </si>
  <si>
    <t>TechSaş A.Ş.</t>
  </si>
  <si>
    <t>PRD-102</t>
  </si>
  <si>
    <t>Kablosuz Mouse</t>
  </si>
  <si>
    <t>Aksesuar</t>
  </si>
  <si>
    <t>LogiTurk Ltd.</t>
  </si>
  <si>
    <t>PRD-103</t>
  </si>
  <si>
    <t>Mekanik Klavye</t>
  </si>
  <si>
    <t>PRD-104</t>
  </si>
  <si>
    <t>27" Oyuncu Monitörü</t>
  </si>
  <si>
    <t>DisplayTurk</t>
  </si>
  <si>
    <t>PRD-105</t>
  </si>
  <si>
    <t>Ergonomik Ofis Koltuğu</t>
  </si>
  <si>
    <t>Mobilya</t>
  </si>
  <si>
    <t>OfisDizayn</t>
  </si>
  <si>
    <t>PRD-106</t>
  </si>
  <si>
    <t>Çalışma Masası 140cm</t>
  </si>
  <si>
    <t>PRD-107</t>
  </si>
  <si>
    <t>USB-C Bağlantı İstasyonu</t>
  </si>
  <si>
    <t>PRD-108</t>
  </si>
  <si>
    <t>HD Web Kamerası</t>
  </si>
  <si>
    <t>PRD-109</t>
  </si>
  <si>
    <t>Kablosuz Kulaklık</t>
  </si>
  <si>
    <t>AudioPro</t>
  </si>
  <si>
    <t>PRD-110</t>
  </si>
  <si>
    <t>Harici SSD 1TB</t>
  </si>
  <si>
    <t>Depolama</t>
  </si>
  <si>
    <t>PRD-111</t>
  </si>
  <si>
    <t>Lazer Yazıcı B&amp;W</t>
  </si>
  <si>
    <t>PrintTek</t>
  </si>
  <si>
    <t>PRD-112</t>
  </si>
  <si>
    <t>Tablet 10.5"</t>
  </si>
  <si>
    <t>Sipariş No</t>
  </si>
  <si>
    <t>Tarih</t>
  </si>
  <si>
    <t>Müşteri Adı</t>
  </si>
  <si>
    <t>Ürün Adı (VLOOKUP)</t>
  </si>
  <si>
    <t>Kategori (VLOOKUP)</t>
  </si>
  <si>
    <t>Miktar</t>
  </si>
  <si>
    <t>Birim Fiyat (VLOOKUP)</t>
  </si>
  <si>
    <t>Brüt Tutar</t>
  </si>
  <si>
    <t>İskonto Oranı (VLOOKUP True)</t>
  </si>
  <si>
    <t>Net Tutar</t>
  </si>
  <si>
    <t>SIP-2026-001</t>
  </si>
  <si>
    <t>2026-09-01</t>
  </si>
  <si>
    <t>Ahmet Yılmaz</t>
  </si>
  <si>
    <t>SIP-2026-002</t>
  </si>
  <si>
    <t>2026-09-02</t>
  </si>
  <si>
    <t>Ayşe Kaya</t>
  </si>
  <si>
    <t>2026-09-03</t>
  </si>
  <si>
    <t>Mehmet Demir</t>
  </si>
  <si>
    <t>SIP-2026-004</t>
  </si>
  <si>
    <t>2026-09-04</t>
  </si>
  <si>
    <t>Tekno Ltd. Şti.</t>
  </si>
  <si>
    <t>SIP-2026-005</t>
  </si>
  <si>
    <t>2026-09-05</t>
  </si>
  <si>
    <t>Zeynep Çelik</t>
  </si>
  <si>
    <t>SIP-2026-006</t>
  </si>
  <si>
    <t>2026-09-06</t>
  </si>
  <si>
    <t>Caner Erkin</t>
  </si>
  <si>
    <t>SIP-2026-007</t>
  </si>
  <si>
    <t>2026-09-07</t>
  </si>
  <si>
    <t>Ofis Sistemleri A.Ş.</t>
  </si>
  <si>
    <t>SIP-2026-008</t>
  </si>
  <si>
    <t>2026-09-08</t>
  </si>
  <si>
    <t>Elif Şahin</t>
  </si>
  <si>
    <t>SIP-2026-009</t>
  </si>
  <si>
    <t>2026-09-09</t>
  </si>
  <si>
    <t>Murat Öztürk</t>
  </si>
  <si>
    <t>SIP-2026-010</t>
  </si>
  <si>
    <t>2026-09-10</t>
  </si>
  <si>
    <t>Deniz Arslan</t>
  </si>
  <si>
    <t>TOPLAM:</t>
  </si>
  <si>
    <t>DÜŞEYARA (VLOOKUP) REHBERİ VE İSKONTO TABLOSU</t>
  </si>
  <si>
    <t>Miktar İskonto Kademeleri (Yaklaşık Eşleşme - TRUE/1)</t>
  </si>
  <si>
    <t>DÜŞEYARA Formülü Çalışma Mantığı</t>
  </si>
  <si>
    <t>Min. Sipariş Miktarı</t>
  </si>
  <si>
    <t>İskonto Oranı</t>
  </si>
  <si>
    <t>Formül Yapısı (TR):</t>
  </si>
  <si>
    <t>Formula Syntax (EN):</t>
  </si>
  <si>
    <t>1. Aranan Değer:</t>
  </si>
  <si>
    <t>Bulunmak istenen anahtar veri (Örn: Ürün Kodu, Müşteri ID, Sipariş No).</t>
  </si>
  <si>
    <t>2. Tablo Dizisi:</t>
  </si>
  <si>
    <t>Verinin aranacağı tablo. Aranan değer bu tablonun EN SOL SÜTUNUNDA olmalıdır!</t>
  </si>
  <si>
    <t>3. Sütun İndis Sayısı:</t>
  </si>
  <si>
    <t>Tablonun en solundan başlanarak kaçıncı sütundaki verinin getirileceği (1, 2, 3...)</t>
  </si>
  <si>
    <t>4. Aralık Bak (0 / FALSE):</t>
  </si>
  <si>
    <t>TAM EŞLEŞME. Birebir aynı kodu bulur (Ürün Kodu, TC No arama gibi).</t>
  </si>
  <si>
    <t>5. Aralık Bak (1 / TRUE):</t>
  </si>
  <si>
    <t>YAKLAŞIK EŞLEŞME. Sayısal aralıklarda en yakın alt değeri bulur (İskonto, Vergi, Notlar).</t>
  </si>
  <si>
    <t>EĞERHATA Kullanımı:</t>
  </si>
  <si>
    <t>Hata durumunda (#N/A) 'Bulunamadı' gibi temiz mesaj göstermek için: =EĞERHATA(DÜŞEYARA(...); "Bulunamadı")</t>
  </si>
  <si>
    <t>Yeterli</t>
  </si>
  <si>
    <t>Kritik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</si>
</sst>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₺&quot;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6"/>
      <color rgb="FF1B365D"/>
      <name val="Calibri"/>
    </font>
    <font>
      <b/>
      <sz val="12"/>
      <color rgb="FF1B365D"/>
      <name val="Calibri"/>
    </font>
    <font>
      <b/>
      <sz val="11"/>
      <color rgb="FF000000"/>
      <name val="Calibri"/>
    </font>
    <font>
      <i/>
      <sz val="11"/>
      <color rgb="FF555555"/>
      <name val="Calibri"/>
    </font>
    <font>
      <b/>
      <sz val="9"/>
      <color rgb="FF666666"/>
      <name val="Calibri"/>
    </font>
    <font>
      <b/>
      <sz val="18"/>
      <color rgb="FF1B365D"/>
      <name val="Calibri"/>
    </font>
    <font>
      <b/>
      <sz val="12"/>
      <color rgb="FFFFFFFF"/>
      <name val="Calibri"/>
    </font>
    <font>
      <b/>
      <sz val="11"/>
      <color rgb="FF1B365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8EEF5"/>
        <bgColor rgb="FFE8EE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0" xfId="0" applyFont="1"/>
    <xf numFmtId="0" fontId="5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5" fillId="0" borderId="2" xfId="0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0" fillId="0" borderId="1" xfId="0" applyBorder="1"/>
    <xf numFmtId="0" fontId="10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164" fontId="8" fillId="4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Kategoriye Göre Ürün Stok Miktarları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Urun_Katalogu!$E$1</c:f>
              <c:strCache>
                <c:ptCount val="1"/>
                <c:pt idx="0">
                  <c:v>Stok Miktarı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Urun_Katalogu!$B$2:$B$13</c:f>
              <c:strCache>
                <c:ptCount val="12"/>
                <c:pt idx="0">
                  <c:v>Laptop Pro 15</c:v>
                </c:pt>
                <c:pt idx="1">
                  <c:v>Kablosuz Mouse</c:v>
                </c:pt>
                <c:pt idx="2">
                  <c:v>Mekanik Klavye</c:v>
                </c:pt>
                <c:pt idx="3">
                  <c:v>27" Oyuncu Monitörü</c:v>
                </c:pt>
                <c:pt idx="4">
                  <c:v>Ergonomik Ofis Koltuğu</c:v>
                </c:pt>
                <c:pt idx="5">
                  <c:v>Çalışma Masası 140cm</c:v>
                </c:pt>
                <c:pt idx="6">
                  <c:v>USB-C Bağlantı İstasyonu</c:v>
                </c:pt>
                <c:pt idx="7">
                  <c:v>HD Web Kamerası</c:v>
                </c:pt>
                <c:pt idx="8">
                  <c:v>Kablosuz Kulaklık</c:v>
                </c:pt>
                <c:pt idx="9">
                  <c:v>Harici SSD 1TB</c:v>
                </c:pt>
                <c:pt idx="10">
                  <c:v>Lazer Yazıcı B&amp;W</c:v>
                </c:pt>
                <c:pt idx="11">
                  <c:v>Tablet 10.5"</c:v>
                </c:pt>
              </c:strCache>
            </c:strRef>
          </c:cat>
          <c:val>
            <c:numRef>
              <c:f>Urun_Katalogu!$E$2:$E$13</c:f>
              <c:numCache>
                <c:formatCode>#,##0</c:formatCode>
                <c:ptCount val="12"/>
                <c:pt idx="0">
                  <c:v>45</c:v>
                </c:pt>
                <c:pt idx="1">
                  <c:v>120</c:v>
                </c:pt>
                <c:pt idx="2">
                  <c:v>8</c:v>
                </c:pt>
                <c:pt idx="3">
                  <c:v>22</c:v>
                </c:pt>
                <c:pt idx="4">
                  <c:v>14</c:v>
                </c:pt>
                <c:pt idx="5">
                  <c:v>19</c:v>
                </c:pt>
                <c:pt idx="6">
                  <c:v>60</c:v>
                </c:pt>
                <c:pt idx="7">
                  <c:v>11</c:v>
                </c:pt>
                <c:pt idx="8">
                  <c:v>35</c:v>
                </c:pt>
                <c:pt idx="9">
                  <c:v>50</c:v>
                </c:pt>
                <c:pt idx="10">
                  <c:v>9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5-44ED-9BD0-C97AD3F1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Ürünler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Stok Adedi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576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topLeftCell="A31" workbookViewId="0">
      <selection activeCell="F10" sqref="F10"/>
    </sheetView>
  </sheetViews>
  <sheetFormatPr defaultRowHeight="15" x14ac:dyDescent="0.25"/>
  <cols>
    <col min="1" max="1" width="3" customWidth="1"/>
    <col min="2" max="2" width="22" customWidth="1"/>
    <col min="3" max="3" width="28" customWidth="1"/>
    <col min="4" max="4" width="5" customWidth="1"/>
    <col min="5" max="5" width="22" customWidth="1"/>
    <col min="6" max="6" width="28" customWidth="1"/>
    <col min="7" max="7" width="5" customWidth="1"/>
  </cols>
  <sheetData>
    <row r="2" spans="2:7" ht="21" x14ac:dyDescent="0.25">
      <c r="B2" s="29" t="s">
        <v>0</v>
      </c>
      <c r="C2" s="30"/>
      <c r="D2" s="30"/>
      <c r="E2" s="30"/>
      <c r="F2" s="30"/>
      <c r="G2" s="30"/>
    </row>
    <row r="3" spans="2:7" x14ac:dyDescent="0.25">
      <c r="B3" s="1" t="s">
        <v>1</v>
      </c>
    </row>
    <row r="5" spans="2:7" x14ac:dyDescent="0.25">
      <c r="B5" s="35" t="s">
        <v>2</v>
      </c>
      <c r="C5" s="32"/>
      <c r="D5" s="35" t="s">
        <v>3</v>
      </c>
      <c r="E5" s="32"/>
      <c r="F5" s="35" t="s">
        <v>4</v>
      </c>
      <c r="G5" s="32"/>
    </row>
    <row r="6" spans="2:7" ht="23.25" x14ac:dyDescent="0.25">
      <c r="B6" s="31">
        <f>COUNTA(Urun_Katalogu!A2:A13)</f>
        <v>12</v>
      </c>
      <c r="C6" s="32"/>
      <c r="D6" s="31">
        <f>COUNTA(Siparis_Detaylari!A2:A11)</f>
        <v>10</v>
      </c>
      <c r="E6" s="32"/>
      <c r="F6" s="37">
        <f>SUM(Siparis_Detaylari!K2:K11)</f>
        <v>0</v>
      </c>
      <c r="G6" s="32"/>
    </row>
    <row r="7" spans="2:7" x14ac:dyDescent="0.25">
      <c r="B7" t="str">
        <f ca="1">_xlfn.FORMULATEXT(B6)</f>
        <v>=BAĞ_DEĞ_DOLU_SAY(Urun_Katalogu!A2:A13)</v>
      </c>
      <c r="D7" t="str">
        <f t="shared" ref="C7:H7" ca="1" si="0">_xlfn.FORMULATEXT(D6)</f>
        <v>=BAĞ_DEĞ_DOLU_SAY(Siparis_Detaylari!A2:A11)</v>
      </c>
      <c r="G7" t="str">
        <f ca="1">_xlfn.FORMULATEXT(F6)</f>
        <v>=TOPLA(Siparis_Detaylari!K2:K11)</v>
      </c>
    </row>
    <row r="9" spans="2:7" ht="15.75" x14ac:dyDescent="0.25">
      <c r="B9" s="36" t="s">
        <v>5</v>
      </c>
      <c r="C9" s="30"/>
      <c r="D9" s="30"/>
      <c r="E9" s="38" t="s">
        <v>6</v>
      </c>
      <c r="F9" s="30"/>
      <c r="G9" s="30"/>
    </row>
    <row r="10" spans="2:7" x14ac:dyDescent="0.25">
      <c r="B10" s="2" t="s">
        <v>7</v>
      </c>
      <c r="C10" s="3" t="s">
        <v>8</v>
      </c>
      <c r="E10" s="2" t="s">
        <v>9</v>
      </c>
      <c r="F10" s="3" t="s">
        <v>10</v>
      </c>
    </row>
    <row r="11" spans="2:7" x14ac:dyDescent="0.25">
      <c r="B11" s="2" t="s">
        <v>11</v>
      </c>
      <c r="C11" s="4"/>
      <c r="E11" s="2" t="s">
        <v>12</v>
      </c>
      <c r="F11" s="5"/>
    </row>
    <row r="12" spans="2:7" x14ac:dyDescent="0.25">
      <c r="B12" s="2" t="s">
        <v>13</v>
      </c>
      <c r="C12" s="4"/>
      <c r="E12" s="2" t="s">
        <v>14</v>
      </c>
      <c r="F12" s="4"/>
    </row>
    <row r="13" spans="2:7" x14ac:dyDescent="0.25">
      <c r="B13" s="2" t="s">
        <v>15</v>
      </c>
      <c r="C13" s="6"/>
      <c r="E13" s="2" t="s">
        <v>16</v>
      </c>
      <c r="F13" s="5"/>
    </row>
    <row r="14" spans="2:7" x14ac:dyDescent="0.25">
      <c r="B14" s="2" t="s">
        <v>17</v>
      </c>
      <c r="C14" s="7"/>
      <c r="E14" s="2" t="s">
        <v>18</v>
      </c>
      <c r="F14" s="4"/>
    </row>
    <row r="15" spans="2:7" x14ac:dyDescent="0.25">
      <c r="B15" s="2" t="s">
        <v>19</v>
      </c>
      <c r="C15" s="4"/>
      <c r="E15" s="2" t="s">
        <v>20</v>
      </c>
      <c r="F15" s="7"/>
    </row>
    <row r="16" spans="2:7" x14ac:dyDescent="0.25">
      <c r="B16" s="2" t="s">
        <v>21</v>
      </c>
      <c r="C16" s="5"/>
      <c r="E16" s="2" t="s">
        <v>22</v>
      </c>
      <c r="F16" s="8"/>
    </row>
    <row r="17" spans="2:7" x14ac:dyDescent="0.25">
      <c r="E17" s="2" t="s">
        <v>23</v>
      </c>
      <c r="F17" s="6"/>
    </row>
    <row r="19" spans="2:7" x14ac:dyDescent="0.25">
      <c r="B19" s="33" t="s">
        <v>24</v>
      </c>
      <c r="C19" s="30"/>
      <c r="D19" s="30"/>
      <c r="E19" s="30"/>
      <c r="F19" s="30"/>
      <c r="G19" s="30"/>
    </row>
    <row r="20" spans="2:7" x14ac:dyDescent="0.25">
      <c r="B20" s="34" t="s">
        <v>25</v>
      </c>
      <c r="C20" s="30"/>
      <c r="D20" s="30"/>
      <c r="E20" s="30"/>
      <c r="F20" s="30"/>
      <c r="G20" s="30"/>
    </row>
    <row r="21" spans="2:7" x14ac:dyDescent="0.25">
      <c r="B21" s="34" t="s">
        <v>26</v>
      </c>
      <c r="C21" s="30"/>
      <c r="D21" s="30"/>
      <c r="E21" s="30"/>
      <c r="F21" s="30"/>
      <c r="G21" s="30"/>
    </row>
    <row r="22" spans="2:7" x14ac:dyDescent="0.25">
      <c r="B22" s="34" t="s">
        <v>27</v>
      </c>
      <c r="C22" s="30"/>
      <c r="D22" s="30"/>
      <c r="E22" s="30"/>
      <c r="F22" s="30"/>
      <c r="G22" s="30"/>
    </row>
    <row r="23" spans="2:7" x14ac:dyDescent="0.25">
      <c r="B23" s="34" t="s">
        <v>28</v>
      </c>
      <c r="C23" s="30"/>
      <c r="D23" s="30"/>
      <c r="E23" s="30"/>
      <c r="F23" s="30"/>
      <c r="G23" s="30"/>
    </row>
  </sheetData>
  <mergeCells count="14">
    <mergeCell ref="B22:G22"/>
    <mergeCell ref="B5:C5"/>
    <mergeCell ref="F5:G5"/>
    <mergeCell ref="D5:E5"/>
    <mergeCell ref="B23:G23"/>
    <mergeCell ref="B9:D9"/>
    <mergeCell ref="F6:G6"/>
    <mergeCell ref="E9:G9"/>
    <mergeCell ref="B21:G21"/>
    <mergeCell ref="B2:G2"/>
    <mergeCell ref="B6:C6"/>
    <mergeCell ref="D6:E6"/>
    <mergeCell ref="B19:G19"/>
    <mergeCell ref="B20:G2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4" customWidth="1"/>
    <col min="2" max="2" width="29" customWidth="1"/>
    <col min="3" max="3" width="15" customWidth="1"/>
    <col min="4" max="4" width="21" customWidth="1"/>
    <col min="5" max="5" width="17" customWidth="1"/>
    <col min="6" max="7" width="20" customWidth="1"/>
  </cols>
  <sheetData>
    <row r="1" spans="1:8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</row>
    <row r="2" spans="1:8" x14ac:dyDescent="0.25">
      <c r="A2" s="11" t="s">
        <v>8</v>
      </c>
      <c r="B2" s="12" t="s">
        <v>36</v>
      </c>
      <c r="C2" s="12" t="s">
        <v>37</v>
      </c>
      <c r="D2" s="13">
        <v>34500</v>
      </c>
      <c r="E2" s="14">
        <v>45</v>
      </c>
      <c r="F2" s="12" t="s">
        <v>38</v>
      </c>
      <c r="G2" s="11"/>
      <c r="H2" t="s">
        <v>128</v>
      </c>
    </row>
    <row r="3" spans="1:8" x14ac:dyDescent="0.25">
      <c r="A3" s="15" t="s">
        <v>39</v>
      </c>
      <c r="B3" s="16" t="s">
        <v>40</v>
      </c>
      <c r="C3" s="16" t="s">
        <v>41</v>
      </c>
      <c r="D3" s="17">
        <v>450</v>
      </c>
      <c r="E3" s="18">
        <v>120</v>
      </c>
      <c r="F3" s="16" t="s">
        <v>42</v>
      </c>
      <c r="G3" s="15"/>
      <c r="H3" t="s">
        <v>128</v>
      </c>
    </row>
    <row r="4" spans="1:8" x14ac:dyDescent="0.25">
      <c r="A4" s="11" t="s">
        <v>43</v>
      </c>
      <c r="B4" s="12" t="s">
        <v>44</v>
      </c>
      <c r="C4" s="12" t="s">
        <v>41</v>
      </c>
      <c r="D4" s="13">
        <v>1850</v>
      </c>
      <c r="E4" s="14">
        <v>8</v>
      </c>
      <c r="F4" s="12" t="s">
        <v>42</v>
      </c>
      <c r="G4" s="11"/>
      <c r="H4" t="s">
        <v>129</v>
      </c>
    </row>
    <row r="5" spans="1:8" x14ac:dyDescent="0.25">
      <c r="A5" s="15" t="s">
        <v>45</v>
      </c>
      <c r="B5" s="16" t="s">
        <v>46</v>
      </c>
      <c r="C5" s="16" t="s">
        <v>37</v>
      </c>
      <c r="D5" s="17">
        <v>8900</v>
      </c>
      <c r="E5" s="18">
        <v>22</v>
      </c>
      <c r="F5" s="16" t="s">
        <v>47</v>
      </c>
      <c r="G5" s="15"/>
      <c r="H5" t="s">
        <v>128</v>
      </c>
    </row>
    <row r="6" spans="1:8" x14ac:dyDescent="0.25">
      <c r="A6" s="11" t="s">
        <v>48</v>
      </c>
      <c r="B6" s="12" t="s">
        <v>49</v>
      </c>
      <c r="C6" s="12" t="s">
        <v>50</v>
      </c>
      <c r="D6" s="13">
        <v>4200</v>
      </c>
      <c r="E6" s="14">
        <v>14</v>
      </c>
      <c r="F6" s="12" t="s">
        <v>51</v>
      </c>
      <c r="G6" s="11"/>
      <c r="H6" t="s">
        <v>129</v>
      </c>
    </row>
    <row r="7" spans="1:8" x14ac:dyDescent="0.25">
      <c r="A7" s="15" t="s">
        <v>52</v>
      </c>
      <c r="B7" s="16" t="s">
        <v>53</v>
      </c>
      <c r="C7" s="16" t="s">
        <v>50</v>
      </c>
      <c r="D7" s="17">
        <v>3100</v>
      </c>
      <c r="E7" s="18">
        <v>19</v>
      </c>
      <c r="F7" s="16" t="s">
        <v>51</v>
      </c>
      <c r="G7" s="15"/>
      <c r="H7" t="s">
        <v>128</v>
      </c>
    </row>
    <row r="8" spans="1:8" x14ac:dyDescent="0.25">
      <c r="A8" s="11" t="s">
        <v>54</v>
      </c>
      <c r="B8" s="12" t="s">
        <v>55</v>
      </c>
      <c r="C8" s="12" t="s">
        <v>41</v>
      </c>
      <c r="D8" s="13">
        <v>1250</v>
      </c>
      <c r="E8" s="14">
        <v>60</v>
      </c>
      <c r="F8" s="12" t="s">
        <v>38</v>
      </c>
      <c r="G8" s="11"/>
      <c r="H8" t="s">
        <v>128</v>
      </c>
    </row>
    <row r="9" spans="1:8" x14ac:dyDescent="0.25">
      <c r="A9" s="15" t="s">
        <v>56</v>
      </c>
      <c r="B9" s="16" t="s">
        <v>57</v>
      </c>
      <c r="C9" s="16" t="s">
        <v>37</v>
      </c>
      <c r="D9" s="17">
        <v>950</v>
      </c>
      <c r="E9" s="18">
        <v>11</v>
      </c>
      <c r="F9" s="16" t="s">
        <v>47</v>
      </c>
      <c r="G9" s="15"/>
      <c r="H9" t="s">
        <v>129</v>
      </c>
    </row>
    <row r="10" spans="1:8" x14ac:dyDescent="0.25">
      <c r="A10" s="11" t="s">
        <v>58</v>
      </c>
      <c r="B10" s="12" t="s">
        <v>59</v>
      </c>
      <c r="C10" s="12" t="s">
        <v>41</v>
      </c>
      <c r="D10" s="13">
        <v>2100</v>
      </c>
      <c r="E10" s="14">
        <v>35</v>
      </c>
      <c r="F10" s="12" t="s">
        <v>60</v>
      </c>
      <c r="G10" s="11"/>
      <c r="H10" t="s">
        <v>128</v>
      </c>
    </row>
    <row r="11" spans="1:8" x14ac:dyDescent="0.25">
      <c r="A11" s="15" t="s">
        <v>61</v>
      </c>
      <c r="B11" s="16" t="s">
        <v>62</v>
      </c>
      <c r="C11" s="16" t="s">
        <v>63</v>
      </c>
      <c r="D11" s="17">
        <v>2800</v>
      </c>
      <c r="E11" s="18">
        <v>50</v>
      </c>
      <c r="F11" s="16" t="s">
        <v>38</v>
      </c>
      <c r="G11" s="15"/>
      <c r="H11" t="s">
        <v>128</v>
      </c>
    </row>
    <row r="12" spans="1:8" x14ac:dyDescent="0.25">
      <c r="A12" s="11" t="s">
        <v>64</v>
      </c>
      <c r="B12" s="12" t="s">
        <v>65</v>
      </c>
      <c r="C12" s="12" t="s">
        <v>37</v>
      </c>
      <c r="D12" s="13">
        <v>5400</v>
      </c>
      <c r="E12" s="14">
        <v>9</v>
      </c>
      <c r="F12" s="12" t="s">
        <v>66</v>
      </c>
      <c r="G12" s="11"/>
      <c r="H12" t="s">
        <v>129</v>
      </c>
    </row>
    <row r="13" spans="1:8" x14ac:dyDescent="0.25">
      <c r="A13" s="15" t="s">
        <v>67</v>
      </c>
      <c r="B13" s="16" t="s">
        <v>68</v>
      </c>
      <c r="C13" s="16" t="s">
        <v>37</v>
      </c>
      <c r="D13" s="17">
        <v>7600</v>
      </c>
      <c r="E13" s="18">
        <v>28</v>
      </c>
      <c r="F13" s="16" t="s">
        <v>38</v>
      </c>
      <c r="G13" s="15"/>
      <c r="H13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opLeftCell="B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7" customWidth="1"/>
    <col min="2" max="2" width="15" customWidth="1"/>
    <col min="3" max="3" width="25" customWidth="1"/>
    <col min="4" max="4" width="14" customWidth="1"/>
    <col min="5" max="6" width="23" customWidth="1"/>
    <col min="7" max="7" width="20" customWidth="1"/>
    <col min="8" max="8" width="26" customWidth="1"/>
    <col min="9" max="9" width="20" customWidth="1"/>
    <col min="10" max="10" width="33" customWidth="1"/>
    <col min="11" max="11" width="20" customWidth="1"/>
  </cols>
  <sheetData>
    <row r="1" spans="1:11" x14ac:dyDescent="0.25">
      <c r="A1" s="10" t="s">
        <v>69</v>
      </c>
      <c r="B1" s="10" t="s">
        <v>70</v>
      </c>
      <c r="C1" s="10" t="s">
        <v>71</v>
      </c>
      <c r="D1" s="10" t="s">
        <v>29</v>
      </c>
      <c r="E1" s="10" t="s">
        <v>72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</row>
    <row r="2" spans="1:11" x14ac:dyDescent="0.25">
      <c r="A2" s="11" t="s">
        <v>79</v>
      </c>
      <c r="B2" s="11" t="s">
        <v>80</v>
      </c>
      <c r="C2" s="12" t="s">
        <v>81</v>
      </c>
      <c r="D2" s="11" t="s">
        <v>8</v>
      </c>
      <c r="E2" s="12" t="str">
        <f>IFERROR(VLOOKUP(D2, Urun_Katalogu!$A$2:$G$13, 2, FALSE), "Bilinmiyor")</f>
        <v>Laptop Pro 15</v>
      </c>
      <c r="F2" s="12" t="str">
        <f>IFERROR(VLOOKUP(D2, Urun_Katalogu!$A$2:$G$13, 3, FALSE), "Bilinmiyor")</f>
        <v>Elektronik</v>
      </c>
      <c r="G2" s="14">
        <v>3</v>
      </c>
      <c r="H2" s="13"/>
      <c r="I2" s="13"/>
      <c r="J2" s="19"/>
      <c r="K2" s="13"/>
    </row>
    <row r="3" spans="1:11" x14ac:dyDescent="0.25">
      <c r="A3" s="15" t="s">
        <v>82</v>
      </c>
      <c r="B3" s="15" t="s">
        <v>83</v>
      </c>
      <c r="C3" s="16" t="s">
        <v>84</v>
      </c>
      <c r="D3" s="15" t="s">
        <v>43</v>
      </c>
      <c r="E3" s="16" t="str">
        <f>IFERROR(VLOOKUP(D3, Urun_Katalogu!$A$2:$G$13, 2, FALSE), "Bilinmiyor")</f>
        <v>Mekanik Klavye</v>
      </c>
      <c r="F3" s="16" t="str">
        <f>IFERROR(VLOOKUP(D3, Urun_Katalogu!$A$2:$G$13, 3, FALSE), "Bilinmiyor")</f>
        <v>Aksesuar</v>
      </c>
      <c r="G3" s="18">
        <v>18</v>
      </c>
      <c r="H3" s="17"/>
      <c r="I3" s="17"/>
      <c r="J3" s="20"/>
      <c r="K3" s="17"/>
    </row>
    <row r="4" spans="1:11" x14ac:dyDescent="0.25">
      <c r="A4" s="11" t="s">
        <v>10</v>
      </c>
      <c r="B4" s="11" t="s">
        <v>85</v>
      </c>
      <c r="C4" s="12" t="s">
        <v>86</v>
      </c>
      <c r="D4" s="11" t="s">
        <v>39</v>
      </c>
      <c r="E4" s="12" t="str">
        <f>IFERROR(VLOOKUP(D4, Urun_Katalogu!$A$2:$G$13, 2, FALSE), "Bilinmiyor")</f>
        <v>Kablosuz Mouse</v>
      </c>
      <c r="F4" s="12" t="str">
        <f>IFERROR(VLOOKUP(D4, Urun_Katalogu!$A$2:$G$13, 3, FALSE), "Bilinmiyor")</f>
        <v>Aksesuar</v>
      </c>
      <c r="G4" s="14">
        <v>50</v>
      </c>
      <c r="H4" s="13"/>
      <c r="I4" s="13"/>
      <c r="J4" s="19"/>
      <c r="K4" s="13"/>
    </row>
    <row r="5" spans="1:11" x14ac:dyDescent="0.25">
      <c r="A5" s="15" t="s">
        <v>87</v>
      </c>
      <c r="B5" s="15" t="s">
        <v>88</v>
      </c>
      <c r="C5" s="16" t="s">
        <v>89</v>
      </c>
      <c r="D5" s="15" t="s">
        <v>45</v>
      </c>
      <c r="E5" s="16" t="str">
        <f>IFERROR(VLOOKUP(D5, Urun_Katalogu!$A$2:$G$13, 2, FALSE), "Bilinmiyor")</f>
        <v>27" Oyuncu Monitörü</v>
      </c>
      <c r="F5" s="16" t="str">
        <f>IFERROR(VLOOKUP(D5, Urun_Katalogu!$A$2:$G$13, 3, FALSE), "Bilinmiyor")</f>
        <v>Elektronik</v>
      </c>
      <c r="G5" s="18">
        <v>8</v>
      </c>
      <c r="H5" s="17"/>
      <c r="I5" s="17"/>
      <c r="J5" s="20"/>
      <c r="K5" s="17"/>
    </row>
    <row r="6" spans="1:11" x14ac:dyDescent="0.25">
      <c r="A6" s="11" t="s">
        <v>90</v>
      </c>
      <c r="B6" s="11" t="s">
        <v>91</v>
      </c>
      <c r="C6" s="12" t="s">
        <v>92</v>
      </c>
      <c r="D6" s="11" t="s">
        <v>54</v>
      </c>
      <c r="E6" s="12" t="str">
        <f>IFERROR(VLOOKUP(D6, Urun_Katalogu!$A$2:$G$13, 2, FALSE), "Bilinmiyor")</f>
        <v>USB-C Bağlantı İstasyonu</v>
      </c>
      <c r="F6" s="12" t="str">
        <f>IFERROR(VLOOKUP(D6, Urun_Katalogu!$A$2:$G$13, 3, FALSE), "Bilinmiyor")</f>
        <v>Aksesuar</v>
      </c>
      <c r="G6" s="14">
        <v>35</v>
      </c>
      <c r="H6" s="13"/>
      <c r="I6" s="13"/>
      <c r="J6" s="19"/>
      <c r="K6" s="13"/>
    </row>
    <row r="7" spans="1:11" x14ac:dyDescent="0.25">
      <c r="A7" s="15" t="s">
        <v>93</v>
      </c>
      <c r="B7" s="15" t="s">
        <v>94</v>
      </c>
      <c r="C7" s="16" t="s">
        <v>95</v>
      </c>
      <c r="D7" s="15" t="s">
        <v>48</v>
      </c>
      <c r="E7" s="16" t="str">
        <f>IFERROR(VLOOKUP(D7, Urun_Katalogu!$A$2:$G$13, 2, FALSE), "Bilinmiyor")</f>
        <v>Ergonomik Ofis Koltuğu</v>
      </c>
      <c r="F7" s="16" t="str">
        <f>IFERROR(VLOOKUP(D7, Urun_Katalogu!$A$2:$G$13, 3, FALSE), "Bilinmiyor")</f>
        <v>Mobilya</v>
      </c>
      <c r="G7" s="18">
        <v>2</v>
      </c>
      <c r="H7" s="17"/>
      <c r="I7" s="17"/>
      <c r="J7" s="20"/>
      <c r="K7" s="17"/>
    </row>
    <row r="8" spans="1:11" x14ac:dyDescent="0.25">
      <c r="A8" s="11" t="s">
        <v>96</v>
      </c>
      <c r="B8" s="11" t="s">
        <v>97</v>
      </c>
      <c r="C8" s="12" t="s">
        <v>98</v>
      </c>
      <c r="D8" s="11" t="s">
        <v>52</v>
      </c>
      <c r="E8" s="12" t="str">
        <f>IFERROR(VLOOKUP(D8, Urun_Katalogu!$A$2:$G$13, 2, FALSE), "Bilinmiyor")</f>
        <v>Çalışma Masası 140cm</v>
      </c>
      <c r="F8" s="12" t="str">
        <f>IFERROR(VLOOKUP(D8, Urun_Katalogu!$A$2:$G$13, 3, FALSE), "Bilinmiyor")</f>
        <v>Mobilya</v>
      </c>
      <c r="G8" s="14">
        <v>12</v>
      </c>
      <c r="H8" s="13"/>
      <c r="I8" s="13"/>
      <c r="J8" s="19"/>
      <c r="K8" s="13"/>
    </row>
    <row r="9" spans="1:11" x14ac:dyDescent="0.25">
      <c r="A9" s="15" t="s">
        <v>99</v>
      </c>
      <c r="B9" s="15" t="s">
        <v>100</v>
      </c>
      <c r="C9" s="16" t="s">
        <v>101</v>
      </c>
      <c r="D9" s="15" t="s">
        <v>58</v>
      </c>
      <c r="E9" s="16" t="str">
        <f>IFERROR(VLOOKUP(D9, Urun_Katalogu!$A$2:$G$13, 2, FALSE), "Bilinmiyor")</f>
        <v>Kablosuz Kulaklık</v>
      </c>
      <c r="F9" s="16" t="str">
        <f>IFERROR(VLOOKUP(D9, Urun_Katalogu!$A$2:$G$13, 3, FALSE), "Bilinmiyor")</f>
        <v>Aksesuar</v>
      </c>
      <c r="G9" s="18">
        <v>6</v>
      </c>
      <c r="H9" s="17"/>
      <c r="I9" s="17"/>
      <c r="J9" s="20"/>
      <c r="K9" s="17"/>
    </row>
    <row r="10" spans="1:11" x14ac:dyDescent="0.25">
      <c r="A10" s="11" t="s">
        <v>102</v>
      </c>
      <c r="B10" s="11" t="s">
        <v>103</v>
      </c>
      <c r="C10" s="12" t="s">
        <v>104</v>
      </c>
      <c r="D10" s="11" t="s">
        <v>61</v>
      </c>
      <c r="E10" s="12" t="str">
        <f>IFERROR(VLOOKUP(D10, Urun_Katalogu!$A$2:$G$13, 2, FALSE), "Bilinmiyor")</f>
        <v>Harici SSD 1TB</v>
      </c>
      <c r="F10" s="12" t="str">
        <f>IFERROR(VLOOKUP(D10, Urun_Katalogu!$A$2:$G$13, 3, FALSE), "Bilinmiyor")</f>
        <v>Depolama</v>
      </c>
      <c r="G10" s="14">
        <v>25</v>
      </c>
      <c r="H10" s="13"/>
      <c r="I10" s="13"/>
      <c r="J10" s="19"/>
      <c r="K10" s="13"/>
    </row>
    <row r="11" spans="1:11" x14ac:dyDescent="0.25">
      <c r="A11" s="15" t="s">
        <v>105</v>
      </c>
      <c r="B11" s="15" t="s">
        <v>106</v>
      </c>
      <c r="C11" s="16" t="s">
        <v>107</v>
      </c>
      <c r="D11" s="15" t="s">
        <v>56</v>
      </c>
      <c r="E11" s="16" t="str">
        <f>IFERROR(VLOOKUP(D11, Urun_Katalogu!$A$2:$G$13, 2, FALSE), "Bilinmiyor")</f>
        <v>HD Web Kamerası</v>
      </c>
      <c r="F11" s="16" t="str">
        <f>IFERROR(VLOOKUP(D11, Urun_Katalogu!$A$2:$G$13, 3, FALSE), "Bilinmiyor")</f>
        <v>Elektronik</v>
      </c>
      <c r="G11" s="18">
        <v>4</v>
      </c>
      <c r="H11" s="17"/>
      <c r="I11" s="17"/>
      <c r="J11" s="20"/>
      <c r="K11" s="17"/>
    </row>
    <row r="12" spans="1:11" x14ac:dyDescent="0.25">
      <c r="A12" s="21"/>
      <c r="B12" s="21"/>
      <c r="C12" s="22" t="s">
        <v>108</v>
      </c>
      <c r="D12" s="21"/>
      <c r="E12" s="21"/>
      <c r="F12" s="21"/>
      <c r="G12" s="23"/>
      <c r="H12" s="21"/>
      <c r="I12" s="24"/>
      <c r="J12" s="21"/>
      <c r="K12" s="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E8" sqref="E8"/>
    </sheetView>
  </sheetViews>
  <sheetFormatPr defaultRowHeight="15" x14ac:dyDescent="0.25"/>
  <cols>
    <col min="1" max="1" width="25" customWidth="1"/>
    <col min="2" max="2" width="18" customWidth="1"/>
    <col min="3" max="3" width="5" customWidth="1"/>
    <col min="4" max="4" width="28" customWidth="1"/>
    <col min="5" max="5" width="85" customWidth="1"/>
    <col min="6" max="6" width="12" customWidth="1"/>
  </cols>
  <sheetData>
    <row r="1" spans="1:6" ht="21" x14ac:dyDescent="0.25">
      <c r="A1" s="29" t="s">
        <v>109</v>
      </c>
      <c r="B1" s="30"/>
      <c r="C1" s="30"/>
      <c r="D1" s="30"/>
      <c r="E1" s="30"/>
      <c r="F1" s="30"/>
    </row>
    <row r="3" spans="1:6" ht="15.75" x14ac:dyDescent="0.25">
      <c r="A3" s="25" t="s">
        <v>110</v>
      </c>
      <c r="D3" s="25" t="s">
        <v>111</v>
      </c>
    </row>
    <row r="5" spans="1:6" x14ac:dyDescent="0.25">
      <c r="A5" s="10" t="s">
        <v>112</v>
      </c>
      <c r="B5" s="10" t="s">
        <v>113</v>
      </c>
      <c r="D5" s="26" t="s">
        <v>114</v>
      </c>
      <c r="E5" s="9"/>
    </row>
    <row r="6" spans="1:6" x14ac:dyDescent="0.25">
      <c r="A6" s="27">
        <v>0</v>
      </c>
      <c r="B6" s="28">
        <v>0</v>
      </c>
      <c r="D6" s="26" t="s">
        <v>115</v>
      </c>
      <c r="E6" s="9" t="e">
        <f>VLOOKUP(lookup_value, table_array, col_index_num, #REF!)</f>
        <v>#NAME?</v>
      </c>
    </row>
    <row r="7" spans="1:6" x14ac:dyDescent="0.25">
      <c r="A7" s="27">
        <v>5</v>
      </c>
      <c r="B7" s="28">
        <v>0.05</v>
      </c>
      <c r="D7" s="26" t="s">
        <v>116</v>
      </c>
      <c r="E7" s="9" t="s">
        <v>117</v>
      </c>
    </row>
    <row r="8" spans="1:6" x14ac:dyDescent="0.25">
      <c r="A8" s="27">
        <v>15</v>
      </c>
      <c r="B8" s="28">
        <v>0.1</v>
      </c>
      <c r="D8" s="26" t="s">
        <v>118</v>
      </c>
      <c r="E8" s="9" t="s">
        <v>119</v>
      </c>
    </row>
    <row r="9" spans="1:6" x14ac:dyDescent="0.25">
      <c r="A9" s="27">
        <v>30</v>
      </c>
      <c r="B9" s="28">
        <v>0.15</v>
      </c>
      <c r="D9" s="26" t="s">
        <v>120</v>
      </c>
      <c r="E9" s="9" t="s">
        <v>121</v>
      </c>
    </row>
    <row r="10" spans="1:6" x14ac:dyDescent="0.25">
      <c r="A10" s="27">
        <v>50</v>
      </c>
      <c r="B10" s="28">
        <v>0.2</v>
      </c>
      <c r="D10" s="26" t="s">
        <v>122</v>
      </c>
      <c r="E10" s="9" t="s">
        <v>123</v>
      </c>
    </row>
    <row r="11" spans="1:6" x14ac:dyDescent="0.25">
      <c r="D11" s="26" t="s">
        <v>124</v>
      </c>
      <c r="E11" s="9" t="s">
        <v>125</v>
      </c>
    </row>
    <row r="12" spans="1:6" x14ac:dyDescent="0.25">
      <c r="D12" s="26" t="s">
        <v>126</v>
      </c>
      <c r="E12" s="9" t="s">
        <v>127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Düşeyara_Sorgu_Paneli</vt:lpstr>
      <vt:lpstr>Urun_Katalogu</vt:lpstr>
      <vt:lpstr>Siparis_Detaylari</vt:lpstr>
      <vt:lpstr>Iskonto_ve_Rehber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OGRETMEN</cp:lastModifiedBy>
  <dcterms:created xsi:type="dcterms:W3CDTF">2026-09-28T11:09:40Z</dcterms:created>
  <dcterms:modified xsi:type="dcterms:W3CDTF">2026-09-28T11:18:37Z</dcterms:modified>
</cp:coreProperties>
</file>