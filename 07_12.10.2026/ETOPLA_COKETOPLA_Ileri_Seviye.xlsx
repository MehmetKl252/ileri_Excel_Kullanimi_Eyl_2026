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ABB5421-0692-434D-8785-DB9A62D7DDD6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Özet Gösterge Paneli" sheetId="1" r:id="rId1"/>
    <sheet name="Satış Verileri" sheetId="2" r:id="rId2"/>
    <sheet name="ETOPLA &amp; ÇOKETOPLA Formülleri" sheetId="3" r:id="rId3"/>
  </sheets>
  <definedNames>
    <definedName name="_xlnm._FilterDatabase" localSheetId="1" hidden="1">'Satış Verileri'!$A$1:$L$26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2" l="1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<sst xmlns="http://schemas.openxmlformats.org/spreadsheetml/2006/main" count="266" uniqueCount="126">
  <si>
    <t>YÖNETİCİ ÖZETİ VE DİNAMİK SATIŞ ANALİZİ</t>
  </si>
  <si>
    <t>TOPLAM CİRO (2025-2026)</t>
  </si>
  <si>
    <t>TAMAMLANAN MİKTAR</t>
  </si>
  <si>
    <t>MARMARA ELEKTRONİK CİRO</t>
  </si>
  <si>
    <t>1. BÖLGE VE KATEGORİ BAZLI CİRO MATRİSİ (ÇOKETOPLA)</t>
  </si>
  <si>
    <t>Bölge / Kategori</t>
  </si>
  <si>
    <t>Elektronik</t>
  </si>
  <si>
    <t>Mobilya</t>
  </si>
  <si>
    <t>Kırtasiye</t>
  </si>
  <si>
    <t>Genel Toplam</t>
  </si>
  <si>
    <t>Marmara</t>
  </si>
  <si>
    <t>Ege</t>
  </si>
  <si>
    <t>İç Anadolu</t>
  </si>
  <si>
    <t>Akdeniz</t>
  </si>
  <si>
    <t>2. SATIŞ TEMSİLCİSİ PERFORMANS VE BAŞARI ORANI</t>
  </si>
  <si>
    <t>Satış Temsilcisi</t>
  </si>
  <si>
    <t>Toplam Sipariş</t>
  </si>
  <si>
    <t>Tamamlanan Ciro</t>
  </si>
  <si>
    <t>İptal Edilen Ciro</t>
  </si>
  <si>
    <t>Başarı Oranı (%)</t>
  </si>
  <si>
    <t>Ahmet Yılmaz</t>
  </si>
  <si>
    <t>Selin Kaya</t>
  </si>
  <si>
    <t>Mehmet Demir</t>
  </si>
  <si>
    <t>Ayşe Çelik</t>
  </si>
  <si>
    <t>Can Öztürk</t>
  </si>
  <si>
    <t>Sipariş No</t>
  </si>
  <si>
    <t>Tarih</t>
  </si>
  <si>
    <t>Yıl</t>
  </si>
  <si>
    <t>Ay</t>
  </si>
  <si>
    <t>Bölge</t>
  </si>
  <si>
    <t>Kategori</t>
  </si>
  <si>
    <t>Ürün</t>
  </si>
  <si>
    <t>Miktar</t>
  </si>
  <si>
    <t>Birim Fiyat (TL)</t>
  </si>
  <si>
    <t>Toplam Tutar (TL)</t>
  </si>
  <si>
    <t>Durum</t>
  </si>
  <si>
    <t>2025-01-05</t>
  </si>
  <si>
    <t>Ocak</t>
  </si>
  <si>
    <t>Laptop</t>
  </si>
  <si>
    <t>Tamamlandı</t>
  </si>
  <si>
    <t>2025-01-08</t>
  </si>
  <si>
    <t>Ofis Koltuğu</t>
  </si>
  <si>
    <t>2025-01-12</t>
  </si>
  <si>
    <t>Monitör</t>
  </si>
  <si>
    <t>2025-01-15</t>
  </si>
  <si>
    <t>Yazıcı Kağıdı</t>
  </si>
  <si>
    <t>2025-01-20</t>
  </si>
  <si>
    <t>Klavye &amp; Fare</t>
  </si>
  <si>
    <t>2025-02-02</t>
  </si>
  <si>
    <t>Şubat</t>
  </si>
  <si>
    <t>Çalışma Masası</t>
  </si>
  <si>
    <t>2025-02-05</t>
  </si>
  <si>
    <t>2025-02-10</t>
  </si>
  <si>
    <t>Klasör Seti</t>
  </si>
  <si>
    <t>İptal</t>
  </si>
  <si>
    <t>2025-02-14</t>
  </si>
  <si>
    <t>2025-02-20</t>
  </si>
  <si>
    <t>2025-03-01</t>
  </si>
  <si>
    <t>Mart</t>
  </si>
  <si>
    <t>2025-03-05</t>
  </si>
  <si>
    <t>2025-03-12</t>
  </si>
  <si>
    <t>2025-03-18</t>
  </si>
  <si>
    <t>2025-03-25</t>
  </si>
  <si>
    <t>2025-04-02</t>
  </si>
  <si>
    <t>Nisan</t>
  </si>
  <si>
    <t>2025-04-08</t>
  </si>
  <si>
    <t>2025-04-15</t>
  </si>
  <si>
    <t>2025-04-22</t>
  </si>
  <si>
    <t>2025-04-28</t>
  </si>
  <si>
    <t>2026-01-10</t>
  </si>
  <si>
    <t>2026-01-15</t>
  </si>
  <si>
    <t>2026-02-01</t>
  </si>
  <si>
    <t>2026-02-12</t>
  </si>
  <si>
    <t>2026-03-05</t>
  </si>
  <si>
    <t>ETOPLA (SUMIF) ve ÇOKETOPLA (SUMIFS) İLERİ SEVİYE UYGULAMALAR</t>
  </si>
  <si>
    <t>Senaryo</t>
  </si>
  <si>
    <t>Uygulama Konusu</t>
  </si>
  <si>
    <t>Açıklama / Mantık</t>
  </si>
  <si>
    <t>Yöntem</t>
  </si>
  <si>
    <t>Formül Gösterimi</t>
  </si>
  <si>
    <t>Hesaplanan Sonuç</t>
  </si>
  <si>
    <t>Senaryo 1</t>
  </si>
  <si>
    <t>Tek Ölçütlü Temel Toplam</t>
  </si>
  <si>
    <t>Sadece 'Marmara' bölgesinde yapılan toplam satış tutarını hesaplar.</t>
  </si>
  <si>
    <t>ETOPLA(Aralık; Ölçüt; [Toplam_Aralığı])</t>
  </si>
  <si>
    <t>'=ETOPLA('Satış Verileri'!E2:E26; "Marmara"; 'Satış Verileri'!K2:K26)</t>
  </si>
  <si>
    <t>Senaryo 2</t>
  </si>
  <si>
    <t>Metin İçeren Ölçüt (Joket Karakter - Wildcard)</t>
  </si>
  <si>
    <t>Ürün adı içinde 'Laptop' geçen tüm satışların toplam tutarını hesaplar (* wildcard).</t>
  </si>
  <si>
    <t>ETOPLA ile * (Joker Karakter) Kullanımı</t>
  </si>
  <si>
    <t>'=ETOPLA('Satış Verileri'!H2:H26; "*Laptop*"; 'Satış Verileri'!K2:K26)</t>
  </si>
  <si>
    <t>Senaryo 3</t>
  </si>
  <si>
    <t>Sayısal Karşılaştırma Operatörleri</t>
  </si>
  <si>
    <t>Miktarı 15 adetten fazla olan ( &gt; 15 ) siparişlerin toplam tutarını hesaplar.</t>
  </si>
  <si>
    <t>ETOPLA ve Mantıksal Operatör (&gt;)</t>
  </si>
  <si>
    <t>'=ETOPLA('Satış Verileri'!I2:I26; "&gt;15"; 'Satış Verileri'!K2:K26)</t>
  </si>
  <si>
    <t>Senaryo 4</t>
  </si>
  <si>
    <t>Çoklu Ölçüt (VE Mantığı)</t>
  </si>
  <si>
    <t>Hem 'Marmara' bölgesinde olan HEM DE 'Elektronik' kategorisindeki satışlar.</t>
  </si>
  <si>
    <t>ÇOKETOPLA(Toplam_Aralığı; Ölçüt_Aralığı1; Ölçüt1; ...)</t>
  </si>
  <si>
    <t>'=ÇOKETOPLA('Satış Verileri'!K2:K26; 'Satış Verileri'!E2:E26; "Marmara"; 'Satış Verileri'!G2:G26; "Elektronik")</t>
  </si>
  <si>
    <t>Senaryo 5</t>
  </si>
  <si>
    <t>Dinamik Hücre Referanslı Çoklu Ölçüt</t>
  </si>
  <si>
    <t>Temsilci = Ahmet Yılmaz, Durum = Tamamlandı ve Yıl = 2025 olan satışlar.</t>
  </si>
  <si>
    <t>ÇOKETOPLA Hücre Referansı Birleştirme (&amp;)</t>
  </si>
  <si>
    <t>'=ÇOKETOPLA('Satış Verileri'!K2:K26; 'Satış Verileri'!F2:F26; E18; 'Satış Verileri'!L2:L26; "Tamamlandı"; 'Satış Verileri'!C2:C26; 2025)</t>
  </si>
  <si>
    <t>Senaryo 6</t>
  </si>
  <si>
    <t>Tarih Aralığı Filtreleme (Dinamik Tarih)</t>
  </si>
  <si>
    <t>01.01.2025 ile 31.03.2025 tarihleri arasındaki (Q1) toplam satış tutarı.</t>
  </si>
  <si>
    <t>ÇOKETOPLA ile Tarih Operatörleri (&gt;= ve &lt;=)</t>
  </si>
  <si>
    <t>'=ÇOKETOPLA('Satış Verileri'!K2:K26; 'Satış Verileri'!B2:B26; "&gt;=2025-01-01"; 'Satış Verileri'!B2:B26; "&lt;=2025-03-31")</t>
  </si>
  <si>
    <t>Senaryo 7</t>
  </si>
  <si>
    <t>Mantıksal 'VEYA' (OR) Mantığı (Dizi Sabiti)</t>
  </si>
  <si>
    <t>Bölgesi 'Marmara' VEYA 'Ege' olan toplam satış tutarı.</t>
  </si>
  <si>
    <t>TOPLA(ÇOKETOPLA(...; {"Marmara"; "Ege"}))</t>
  </si>
  <si>
    <t>'=TOPLA(ÇOKETOPLA('Satış Verileri'!K2:K26; 'Satış Verileri'!E2:E26; {"Marmara";"Ege"}))</t>
  </si>
  <si>
    <t>Senaryo 8</t>
  </si>
  <si>
    <t>Eşit Değildir (&lt;&gt;) Operatörü</t>
  </si>
  <si>
    <t>'İptal' durumunda OLMAYAN (Tamamlanan) toplam satış tutarı.</t>
  </si>
  <si>
    <t>ÇOKETOPLA ve &lt;&gt; Operatörü</t>
  </si>
  <si>
    <t>'=ÇOKETOPLA('Satış Verileri'!K2:K26; 'Satış Verileri'!L2:L26; "&lt;&gt;İptal")</t>
  </si>
  <si>
    <t>Senaryo 9</t>
  </si>
  <si>
    <t>Ortalamadan / Belirli Tutardan Yüksek Satışlar</t>
  </si>
  <si>
    <t>Birim Fiyatı 5.000 TL'den fazla olan ürünlerin toplam satılan MİKTARI.</t>
  </si>
  <si>
    <t>ÇOKETOPLA ile Miktar Toplama</t>
  </si>
  <si>
    <t>'=ÇOKETOPLA('Satış Verileri'!I2:I26; 'Satış Verileri'!J2:J26; "&gt;5000")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</si>
</sst>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₺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FFFFFF"/>
      <name val="Calibri"/>
    </font>
    <font>
      <b/>
      <sz val="11"/>
      <name val="Calibri"/>
    </font>
    <font>
      <i/>
      <sz val="10"/>
      <color rgb="FF1E40AF"/>
      <name val="Consolas"/>
    </font>
    <font>
      <b/>
      <sz val="10"/>
      <color rgb="FF6B7280"/>
      <name val="Calibri"/>
    </font>
    <font>
      <b/>
      <sz val="20"/>
      <color rgb="FF1E3A8A"/>
      <name val="Calibri"/>
    </font>
    <font>
      <b/>
      <sz val="13"/>
      <color rgb="FF1E3A8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F3F4F6"/>
        <bgColor rgb="FFF3F4F6"/>
      </patternFill>
    </fill>
    <fill>
      <patternFill patternType="solid">
        <fgColor rgb="FF0D9488"/>
        <bgColor rgb="FF0D9488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4" fillId="0" borderId="1" xfId="0" applyFont="1" applyBorder="1"/>
    <xf numFmtId="164" fontId="2" fillId="0" borderId="1" xfId="0" applyNumberFormat="1" applyFont="1" applyBorder="1"/>
    <xf numFmtId="164" fontId="4" fillId="0" borderId="1" xfId="0" applyNumberFormat="1" applyFont="1" applyBorder="1"/>
    <xf numFmtId="0" fontId="4" fillId="0" borderId="2" xfId="0" applyFont="1" applyBorder="1"/>
    <xf numFmtId="164" fontId="4" fillId="0" borderId="2" xfId="0" applyNumberFormat="1" applyFont="1" applyBorder="1"/>
    <xf numFmtId="0" fontId="1" fillId="7" borderId="0" xfId="0" applyFont="1" applyFill="1" applyAlignment="1">
      <alignment horizontal="center" vertical="center"/>
    </xf>
    <xf numFmtId="3" fontId="2" fillId="0" borderId="1" xfId="0" applyNumberFormat="1" applyFont="1" applyBorder="1"/>
    <xf numFmtId="165" fontId="2" fillId="0" borderId="1" xfId="0" applyNumberFormat="1" applyFont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2" fillId="0" borderId="0" xfId="0" applyFont="1"/>
    <xf numFmtId="0" fontId="7" fillId="6" borderId="1" xfId="0" applyFont="1" applyFill="1" applyBorder="1" applyAlignment="1">
      <alignment horizontal="center" vertical="center"/>
    </xf>
    <xf numFmtId="0" fontId="0" fillId="0" borderId="1" xfId="0" applyBorder="1"/>
    <xf numFmtId="0" fontId="6" fillId="6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164" fontId="7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Temsilci Bazlı Tamamlanan Ciro (TL)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'Özet Gösterge Paneli'!$D$18</c:f>
              <c:strCache>
                <c:ptCount val="1"/>
                <c:pt idx="0">
                  <c:v>Tamamlanan Ciro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'Özet Gösterge Paneli'!$B$19:$B$23</c:f>
              <c:strCache>
                <c:ptCount val="5"/>
                <c:pt idx="0">
                  <c:v>Ahmet Yılmaz</c:v>
                </c:pt>
                <c:pt idx="1">
                  <c:v>Selin Kaya</c:v>
                </c:pt>
                <c:pt idx="2">
                  <c:v>Mehmet Demir</c:v>
                </c:pt>
                <c:pt idx="3">
                  <c:v>Ayşe Çelik</c:v>
                </c:pt>
                <c:pt idx="4">
                  <c:v>Can Öztürk</c:v>
                </c:pt>
              </c:strCache>
            </c:strRef>
          </c:cat>
          <c:val>
            <c:numRef>
              <c:f>'Özet Gösterge Paneli'!$D$19:$D$23</c:f>
              <c:numCache>
                <c:formatCode>#,##0\ \₺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0CF-4B9F-98AB-F9DCAD74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Temsilci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TL</a:t>
                </a:r>
              </a:p>
            </c:rich>
          </c:tx>
          <c:overlay val="0"/>
        </c:title>
        <c:numFmt formatCode="#,##0\ \₺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4" workbookViewId="0">
      <selection activeCell="C19" sqref="C19"/>
    </sheetView>
  </sheetViews>
  <sheetFormatPr defaultRowHeight="15" x14ac:dyDescent="0.25"/>
  <cols>
    <col min="1" max="1" width="3" customWidth="1"/>
    <col min="2" max="2" width="22" customWidth="1"/>
    <col min="3" max="6" width="18" customWidth="1"/>
    <col min="7" max="7" width="4" customWidth="1"/>
    <col min="8" max="9" width="20" customWidth="1"/>
  </cols>
  <sheetData>
    <row r="1" spans="1:9" ht="39.950000000000003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3" spans="1:9" ht="18" customHeight="1" x14ac:dyDescent="0.25">
      <c r="B3" s="24" t="s">
        <v>1</v>
      </c>
      <c r="C3" s="23"/>
      <c r="E3" s="24" t="s">
        <v>2</v>
      </c>
      <c r="F3" s="23"/>
      <c r="H3" s="24" t="s">
        <v>3</v>
      </c>
      <c r="I3" s="23"/>
    </row>
    <row r="4" spans="1:9" ht="32.1" customHeight="1" x14ac:dyDescent="0.25">
      <c r="B4" s="27"/>
      <c r="C4" s="23"/>
      <c r="E4" s="22"/>
      <c r="F4" s="23"/>
      <c r="H4" s="27"/>
      <c r="I4" s="23"/>
    </row>
    <row r="7" spans="1:9" ht="17.25" x14ac:dyDescent="0.3">
      <c r="B7" s="1" t="s">
        <v>4</v>
      </c>
    </row>
    <row r="9" spans="1:9" x14ac:dyDescent="0.25"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</row>
    <row r="10" spans="1:9" x14ac:dyDescent="0.25">
      <c r="B10" s="3" t="s">
        <v>10</v>
      </c>
      <c r="C10" s="4"/>
      <c r="D10" s="4"/>
      <c r="E10" s="4"/>
      <c r="F10" s="5"/>
    </row>
    <row r="11" spans="1:9" x14ac:dyDescent="0.25">
      <c r="B11" s="3" t="s">
        <v>11</v>
      </c>
      <c r="C11" s="4"/>
      <c r="D11" s="4"/>
      <c r="E11" s="4"/>
      <c r="F11" s="5"/>
    </row>
    <row r="12" spans="1:9" x14ac:dyDescent="0.25">
      <c r="B12" s="3" t="s">
        <v>12</v>
      </c>
      <c r="C12" s="4"/>
      <c r="D12" s="4"/>
      <c r="E12" s="4"/>
      <c r="F12" s="5"/>
    </row>
    <row r="13" spans="1:9" x14ac:dyDescent="0.25">
      <c r="B13" s="3" t="s">
        <v>13</v>
      </c>
      <c r="C13" s="4"/>
      <c r="D13" s="4"/>
      <c r="E13" s="4"/>
      <c r="F13" s="5"/>
    </row>
    <row r="14" spans="1:9" x14ac:dyDescent="0.25">
      <c r="B14" s="6" t="s">
        <v>9</v>
      </c>
      <c r="C14" s="7"/>
      <c r="D14" s="7"/>
      <c r="E14" s="7"/>
      <c r="F14" s="7"/>
    </row>
    <row r="16" spans="1:9" ht="17.25" x14ac:dyDescent="0.3">
      <c r="B16" s="1" t="s">
        <v>14</v>
      </c>
    </row>
    <row r="18" spans="2:6" ht="24" customHeight="1" x14ac:dyDescent="0.25">
      <c r="B18" s="8" t="s">
        <v>15</v>
      </c>
      <c r="C18" s="8" t="s">
        <v>16</v>
      </c>
      <c r="D18" s="8" t="s">
        <v>17</v>
      </c>
      <c r="E18" s="8" t="s">
        <v>18</v>
      </c>
      <c r="F18" s="8" t="s">
        <v>19</v>
      </c>
    </row>
    <row r="19" spans="2:6" x14ac:dyDescent="0.25">
      <c r="B19" s="3" t="s">
        <v>20</v>
      </c>
      <c r="C19" s="9"/>
      <c r="D19" s="4"/>
      <c r="E19" s="4"/>
      <c r="F19" s="10"/>
    </row>
    <row r="20" spans="2:6" x14ac:dyDescent="0.25">
      <c r="B20" s="3" t="s">
        <v>21</v>
      </c>
      <c r="C20" s="9"/>
      <c r="D20" s="4"/>
      <c r="E20" s="4"/>
      <c r="F20" s="10"/>
    </row>
    <row r="21" spans="2:6" x14ac:dyDescent="0.25">
      <c r="B21" s="3" t="s">
        <v>22</v>
      </c>
      <c r="C21" s="9"/>
      <c r="D21" s="4"/>
      <c r="E21" s="4"/>
      <c r="F21" s="10"/>
    </row>
    <row r="22" spans="2:6" x14ac:dyDescent="0.25">
      <c r="B22" s="3" t="s">
        <v>23</v>
      </c>
      <c r="C22" s="9"/>
      <c r="D22" s="4"/>
      <c r="E22" s="4"/>
      <c r="F22" s="10"/>
    </row>
    <row r="23" spans="2:6" x14ac:dyDescent="0.25">
      <c r="B23" s="3" t="s">
        <v>24</v>
      </c>
      <c r="C23" s="9"/>
      <c r="D23" s="4"/>
      <c r="E23" s="4"/>
      <c r="F23" s="10"/>
    </row>
  </sheetData>
  <mergeCells count="7">
    <mergeCell ref="E4:F4"/>
    <mergeCell ref="B3:C3"/>
    <mergeCell ref="A1:I1"/>
    <mergeCell ref="H4:I4"/>
    <mergeCell ref="B4:C4"/>
    <mergeCell ref="E3:F3"/>
    <mergeCell ref="H3:I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opLeftCell="A4" workbookViewId="0">
      <selection activeCell="L14" sqref="L14"/>
    </sheetView>
  </sheetViews>
  <sheetFormatPr defaultRowHeight="15" x14ac:dyDescent="0.25"/>
  <cols>
    <col min="1" max="2" width="14" customWidth="1"/>
    <col min="3" max="4" width="12" customWidth="1"/>
    <col min="5" max="5" width="14" customWidth="1"/>
    <col min="6" max="6" width="20" customWidth="1"/>
    <col min="7" max="7" width="14" customWidth="1"/>
    <col min="8" max="8" width="18" customWidth="1"/>
    <col min="9" max="9" width="12" customWidth="1"/>
    <col min="10" max="10" width="20" customWidth="1"/>
    <col min="11" max="11" width="21" customWidth="1"/>
    <col min="12" max="12" width="14" customWidth="1"/>
  </cols>
  <sheetData>
    <row r="1" spans="1:12" ht="27.95" customHeigh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15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</row>
    <row r="2" spans="1:12" ht="20.100000000000001" customHeight="1" x14ac:dyDescent="0.25">
      <c r="A2" s="11">
        <v>1001</v>
      </c>
      <c r="B2" s="11" t="s">
        <v>36</v>
      </c>
      <c r="C2" s="11">
        <v>2025</v>
      </c>
      <c r="D2" s="11" t="s">
        <v>37</v>
      </c>
      <c r="E2" s="12" t="s">
        <v>10</v>
      </c>
      <c r="F2" s="12" t="s">
        <v>20</v>
      </c>
      <c r="G2" s="12" t="s">
        <v>6</v>
      </c>
      <c r="H2" s="12" t="s">
        <v>38</v>
      </c>
      <c r="I2" s="13">
        <v>12</v>
      </c>
      <c r="J2" s="14">
        <v>25000</v>
      </c>
      <c r="K2" s="14">
        <f t="shared" ref="K2:K26" si="0">I2*J2</f>
        <v>300000</v>
      </c>
      <c r="L2" s="11" t="s">
        <v>39</v>
      </c>
    </row>
    <row r="3" spans="1:12" ht="20.100000000000001" customHeight="1" x14ac:dyDescent="0.25">
      <c r="A3" s="15">
        <v>1002</v>
      </c>
      <c r="B3" s="15" t="s">
        <v>40</v>
      </c>
      <c r="C3" s="15">
        <v>2025</v>
      </c>
      <c r="D3" s="15" t="s">
        <v>37</v>
      </c>
      <c r="E3" s="16" t="s">
        <v>11</v>
      </c>
      <c r="F3" s="16" t="s">
        <v>21</v>
      </c>
      <c r="G3" s="16" t="s">
        <v>7</v>
      </c>
      <c r="H3" s="16" t="s">
        <v>41</v>
      </c>
      <c r="I3" s="9">
        <v>25</v>
      </c>
      <c r="J3" s="4">
        <v>3500</v>
      </c>
      <c r="K3" s="4">
        <f t="shared" si="0"/>
        <v>87500</v>
      </c>
      <c r="L3" s="15" t="s">
        <v>39</v>
      </c>
    </row>
    <row r="4" spans="1:12" ht="20.100000000000001" customHeight="1" x14ac:dyDescent="0.25">
      <c r="A4" s="11">
        <v>1003</v>
      </c>
      <c r="B4" s="11" t="s">
        <v>42</v>
      </c>
      <c r="C4" s="11">
        <v>2025</v>
      </c>
      <c r="D4" s="11" t="s">
        <v>37</v>
      </c>
      <c r="E4" s="12" t="s">
        <v>12</v>
      </c>
      <c r="F4" s="12" t="s">
        <v>22</v>
      </c>
      <c r="G4" s="12" t="s">
        <v>6</v>
      </c>
      <c r="H4" s="12" t="s">
        <v>43</v>
      </c>
      <c r="I4" s="13">
        <v>8</v>
      </c>
      <c r="J4" s="14">
        <v>7500</v>
      </c>
      <c r="K4" s="14">
        <f t="shared" si="0"/>
        <v>60000</v>
      </c>
      <c r="L4" s="11" t="s">
        <v>39</v>
      </c>
    </row>
    <row r="5" spans="1:12" ht="20.100000000000001" customHeight="1" x14ac:dyDescent="0.25">
      <c r="A5" s="15">
        <v>1004</v>
      </c>
      <c r="B5" s="15" t="s">
        <v>44</v>
      </c>
      <c r="C5" s="15">
        <v>2025</v>
      </c>
      <c r="D5" s="15" t="s">
        <v>37</v>
      </c>
      <c r="E5" s="16" t="s">
        <v>10</v>
      </c>
      <c r="F5" s="16" t="s">
        <v>23</v>
      </c>
      <c r="G5" s="16" t="s">
        <v>8</v>
      </c>
      <c r="H5" s="16" t="s">
        <v>45</v>
      </c>
      <c r="I5" s="9">
        <v>150</v>
      </c>
      <c r="J5" s="4">
        <v>120</v>
      </c>
      <c r="K5" s="4">
        <f t="shared" si="0"/>
        <v>18000</v>
      </c>
      <c r="L5" s="15" t="s">
        <v>39</v>
      </c>
    </row>
    <row r="6" spans="1:12" ht="20.100000000000001" customHeight="1" x14ac:dyDescent="0.25">
      <c r="A6" s="11">
        <v>1005</v>
      </c>
      <c r="B6" s="11" t="s">
        <v>46</v>
      </c>
      <c r="C6" s="11">
        <v>2025</v>
      </c>
      <c r="D6" s="11" t="s">
        <v>37</v>
      </c>
      <c r="E6" s="12" t="s">
        <v>11</v>
      </c>
      <c r="F6" s="12" t="s">
        <v>20</v>
      </c>
      <c r="G6" s="12" t="s">
        <v>6</v>
      </c>
      <c r="H6" s="12" t="s">
        <v>47</v>
      </c>
      <c r="I6" s="13">
        <v>45</v>
      </c>
      <c r="J6" s="14">
        <v>850</v>
      </c>
      <c r="K6" s="14">
        <f t="shared" si="0"/>
        <v>38250</v>
      </c>
      <c r="L6" s="11" t="s">
        <v>39</v>
      </c>
    </row>
    <row r="7" spans="1:12" ht="20.100000000000001" customHeight="1" x14ac:dyDescent="0.25">
      <c r="A7" s="15">
        <v>1006</v>
      </c>
      <c r="B7" s="15" t="s">
        <v>48</v>
      </c>
      <c r="C7" s="15">
        <v>2025</v>
      </c>
      <c r="D7" s="15" t="s">
        <v>49</v>
      </c>
      <c r="E7" s="16" t="s">
        <v>10</v>
      </c>
      <c r="F7" s="16" t="s">
        <v>21</v>
      </c>
      <c r="G7" s="16" t="s">
        <v>7</v>
      </c>
      <c r="H7" s="16" t="s">
        <v>50</v>
      </c>
      <c r="I7" s="9">
        <v>10</v>
      </c>
      <c r="J7" s="4">
        <v>8000</v>
      </c>
      <c r="K7" s="4">
        <f t="shared" si="0"/>
        <v>80000</v>
      </c>
      <c r="L7" s="15" t="s">
        <v>39</v>
      </c>
    </row>
    <row r="8" spans="1:12" ht="20.100000000000001" customHeight="1" x14ac:dyDescent="0.25">
      <c r="A8" s="11">
        <v>1007</v>
      </c>
      <c r="B8" s="11" t="s">
        <v>51</v>
      </c>
      <c r="C8" s="11">
        <v>2025</v>
      </c>
      <c r="D8" s="11" t="s">
        <v>49</v>
      </c>
      <c r="E8" s="12" t="s">
        <v>13</v>
      </c>
      <c r="F8" s="12" t="s">
        <v>24</v>
      </c>
      <c r="G8" s="12" t="s">
        <v>6</v>
      </c>
      <c r="H8" s="12" t="s">
        <v>38</v>
      </c>
      <c r="I8" s="13">
        <v>15</v>
      </c>
      <c r="J8" s="14">
        <v>26000</v>
      </c>
      <c r="K8" s="14">
        <f t="shared" si="0"/>
        <v>390000</v>
      </c>
      <c r="L8" s="11" t="s">
        <v>39</v>
      </c>
    </row>
    <row r="9" spans="1:12" ht="20.100000000000001" customHeight="1" x14ac:dyDescent="0.25">
      <c r="A9" s="15">
        <v>1008</v>
      </c>
      <c r="B9" s="15" t="s">
        <v>52</v>
      </c>
      <c r="C9" s="15">
        <v>2025</v>
      </c>
      <c r="D9" s="15" t="s">
        <v>49</v>
      </c>
      <c r="E9" s="16" t="s">
        <v>12</v>
      </c>
      <c r="F9" s="16" t="s">
        <v>22</v>
      </c>
      <c r="G9" s="16" t="s">
        <v>8</v>
      </c>
      <c r="H9" s="16" t="s">
        <v>53</v>
      </c>
      <c r="I9" s="9">
        <v>80</v>
      </c>
      <c r="J9" s="4">
        <v>250</v>
      </c>
      <c r="K9" s="4">
        <f t="shared" si="0"/>
        <v>20000</v>
      </c>
      <c r="L9" s="15" t="s">
        <v>54</v>
      </c>
    </row>
    <row r="10" spans="1:12" ht="20.100000000000001" customHeight="1" x14ac:dyDescent="0.25">
      <c r="A10" s="11">
        <v>1009</v>
      </c>
      <c r="B10" s="11" t="s">
        <v>55</v>
      </c>
      <c r="C10" s="11">
        <v>2025</v>
      </c>
      <c r="D10" s="11" t="s">
        <v>49</v>
      </c>
      <c r="E10" s="12" t="s">
        <v>10</v>
      </c>
      <c r="F10" s="12" t="s">
        <v>23</v>
      </c>
      <c r="G10" s="12" t="s">
        <v>6</v>
      </c>
      <c r="H10" s="12" t="s">
        <v>43</v>
      </c>
      <c r="I10" s="13">
        <v>20</v>
      </c>
      <c r="J10" s="14">
        <v>7500</v>
      </c>
      <c r="K10" s="14">
        <f t="shared" si="0"/>
        <v>150000</v>
      </c>
      <c r="L10" s="11" t="s">
        <v>39</v>
      </c>
    </row>
    <row r="11" spans="1:12" ht="20.100000000000001" customHeight="1" x14ac:dyDescent="0.25">
      <c r="A11" s="15">
        <v>1010</v>
      </c>
      <c r="B11" s="15" t="s">
        <v>56</v>
      </c>
      <c r="C11" s="15">
        <v>2025</v>
      </c>
      <c r="D11" s="15" t="s">
        <v>49</v>
      </c>
      <c r="E11" s="16" t="s">
        <v>11</v>
      </c>
      <c r="F11" s="16" t="s">
        <v>21</v>
      </c>
      <c r="G11" s="16" t="s">
        <v>6</v>
      </c>
      <c r="H11" s="16" t="s">
        <v>38</v>
      </c>
      <c r="I11" s="9">
        <v>6</v>
      </c>
      <c r="J11" s="4">
        <v>25500</v>
      </c>
      <c r="K11" s="4">
        <f t="shared" si="0"/>
        <v>153000</v>
      </c>
      <c r="L11" s="15" t="s">
        <v>39</v>
      </c>
    </row>
    <row r="12" spans="1:12" ht="20.100000000000001" customHeight="1" x14ac:dyDescent="0.25">
      <c r="A12" s="11">
        <v>1011</v>
      </c>
      <c r="B12" s="11" t="s">
        <v>57</v>
      </c>
      <c r="C12" s="11">
        <v>2025</v>
      </c>
      <c r="D12" s="11" t="s">
        <v>58</v>
      </c>
      <c r="E12" s="12" t="s">
        <v>13</v>
      </c>
      <c r="F12" s="12" t="s">
        <v>24</v>
      </c>
      <c r="G12" s="12" t="s">
        <v>7</v>
      </c>
      <c r="H12" s="12" t="s">
        <v>41</v>
      </c>
      <c r="I12" s="13">
        <v>30</v>
      </c>
      <c r="J12" s="14">
        <v>3600</v>
      </c>
      <c r="K12" s="14">
        <f t="shared" si="0"/>
        <v>108000</v>
      </c>
      <c r="L12" s="11" t="s">
        <v>39</v>
      </c>
    </row>
    <row r="13" spans="1:12" ht="20.100000000000001" customHeight="1" x14ac:dyDescent="0.25">
      <c r="A13" s="15">
        <v>1012</v>
      </c>
      <c r="B13" s="15" t="s">
        <v>59</v>
      </c>
      <c r="C13" s="15">
        <v>2025</v>
      </c>
      <c r="D13" s="15" t="s">
        <v>58</v>
      </c>
      <c r="E13" s="16" t="s">
        <v>10</v>
      </c>
      <c r="F13" s="16" t="s">
        <v>20</v>
      </c>
      <c r="G13" s="16" t="s">
        <v>8</v>
      </c>
      <c r="H13" s="16" t="s">
        <v>45</v>
      </c>
      <c r="I13" s="9">
        <v>200</v>
      </c>
      <c r="J13" s="4">
        <v>115</v>
      </c>
      <c r="K13" s="4">
        <f t="shared" si="0"/>
        <v>23000</v>
      </c>
      <c r="L13" s="15" t="s">
        <v>39</v>
      </c>
    </row>
    <row r="14" spans="1:12" ht="20.100000000000001" customHeight="1" x14ac:dyDescent="0.25">
      <c r="A14" s="11">
        <v>1013</v>
      </c>
      <c r="B14" s="11" t="s">
        <v>60</v>
      </c>
      <c r="C14" s="11">
        <v>2025</v>
      </c>
      <c r="D14" s="11" t="s">
        <v>58</v>
      </c>
      <c r="E14" s="12" t="s">
        <v>12</v>
      </c>
      <c r="F14" s="12" t="s">
        <v>22</v>
      </c>
      <c r="G14" s="12" t="s">
        <v>6</v>
      </c>
      <c r="H14" s="12" t="s">
        <v>38</v>
      </c>
      <c r="I14" s="13">
        <v>10</v>
      </c>
      <c r="J14" s="14">
        <v>25000</v>
      </c>
      <c r="K14" s="14">
        <f t="shared" si="0"/>
        <v>250000</v>
      </c>
      <c r="L14" s="11" t="s">
        <v>39</v>
      </c>
    </row>
    <row r="15" spans="1:12" ht="20.100000000000001" customHeight="1" x14ac:dyDescent="0.25">
      <c r="A15" s="15">
        <v>1014</v>
      </c>
      <c r="B15" s="15" t="s">
        <v>61</v>
      </c>
      <c r="C15" s="15">
        <v>2025</v>
      </c>
      <c r="D15" s="15" t="s">
        <v>58</v>
      </c>
      <c r="E15" s="16" t="s">
        <v>11</v>
      </c>
      <c r="F15" s="16" t="s">
        <v>23</v>
      </c>
      <c r="G15" s="16" t="s">
        <v>7</v>
      </c>
      <c r="H15" s="16" t="s">
        <v>50</v>
      </c>
      <c r="I15" s="9">
        <v>12</v>
      </c>
      <c r="J15" s="4">
        <v>8500</v>
      </c>
      <c r="K15" s="4">
        <f t="shared" si="0"/>
        <v>102000</v>
      </c>
      <c r="L15" s="15" t="s">
        <v>39</v>
      </c>
    </row>
    <row r="16" spans="1:12" ht="20.100000000000001" customHeight="1" x14ac:dyDescent="0.25">
      <c r="A16" s="11">
        <v>1015</v>
      </c>
      <c r="B16" s="11" t="s">
        <v>62</v>
      </c>
      <c r="C16" s="11">
        <v>2025</v>
      </c>
      <c r="D16" s="11" t="s">
        <v>58</v>
      </c>
      <c r="E16" s="12" t="s">
        <v>10</v>
      </c>
      <c r="F16" s="12" t="s">
        <v>20</v>
      </c>
      <c r="G16" s="12" t="s">
        <v>6</v>
      </c>
      <c r="H16" s="12" t="s">
        <v>43</v>
      </c>
      <c r="I16" s="13">
        <v>15</v>
      </c>
      <c r="J16" s="14">
        <v>7800</v>
      </c>
      <c r="K16" s="14">
        <f t="shared" si="0"/>
        <v>117000</v>
      </c>
      <c r="L16" s="11" t="s">
        <v>39</v>
      </c>
    </row>
    <row r="17" spans="1:12" ht="20.100000000000001" customHeight="1" x14ac:dyDescent="0.25">
      <c r="A17" s="15">
        <v>1016</v>
      </c>
      <c r="B17" s="15" t="s">
        <v>63</v>
      </c>
      <c r="C17" s="15">
        <v>2025</v>
      </c>
      <c r="D17" s="15" t="s">
        <v>64</v>
      </c>
      <c r="E17" s="16" t="s">
        <v>13</v>
      </c>
      <c r="F17" s="16" t="s">
        <v>24</v>
      </c>
      <c r="G17" s="16" t="s">
        <v>6</v>
      </c>
      <c r="H17" s="16" t="s">
        <v>47</v>
      </c>
      <c r="I17" s="9">
        <v>60</v>
      </c>
      <c r="J17" s="4">
        <v>900</v>
      </c>
      <c r="K17" s="4">
        <f t="shared" si="0"/>
        <v>54000</v>
      </c>
      <c r="L17" s="15" t="s">
        <v>39</v>
      </c>
    </row>
    <row r="18" spans="1:12" ht="20.100000000000001" customHeight="1" x14ac:dyDescent="0.25">
      <c r="A18" s="11">
        <v>1017</v>
      </c>
      <c r="B18" s="11" t="s">
        <v>65</v>
      </c>
      <c r="C18" s="11">
        <v>2025</v>
      </c>
      <c r="D18" s="11" t="s">
        <v>64</v>
      </c>
      <c r="E18" s="12" t="s">
        <v>10</v>
      </c>
      <c r="F18" s="12" t="s">
        <v>21</v>
      </c>
      <c r="G18" s="12" t="s">
        <v>8</v>
      </c>
      <c r="H18" s="12" t="s">
        <v>53</v>
      </c>
      <c r="I18" s="13">
        <v>120</v>
      </c>
      <c r="J18" s="14">
        <v>240</v>
      </c>
      <c r="K18" s="14">
        <f t="shared" si="0"/>
        <v>28800</v>
      </c>
      <c r="L18" s="11" t="s">
        <v>39</v>
      </c>
    </row>
    <row r="19" spans="1:12" ht="20.100000000000001" customHeight="1" x14ac:dyDescent="0.25">
      <c r="A19" s="15">
        <v>1018</v>
      </c>
      <c r="B19" s="15" t="s">
        <v>66</v>
      </c>
      <c r="C19" s="15">
        <v>2025</v>
      </c>
      <c r="D19" s="15" t="s">
        <v>64</v>
      </c>
      <c r="E19" s="16" t="s">
        <v>12</v>
      </c>
      <c r="F19" s="16" t="s">
        <v>22</v>
      </c>
      <c r="G19" s="16" t="s">
        <v>7</v>
      </c>
      <c r="H19" s="16" t="s">
        <v>41</v>
      </c>
      <c r="I19" s="9">
        <v>18</v>
      </c>
      <c r="J19" s="4">
        <v>3700</v>
      </c>
      <c r="K19" s="4">
        <f t="shared" si="0"/>
        <v>66600</v>
      </c>
      <c r="L19" s="15" t="s">
        <v>39</v>
      </c>
    </row>
    <row r="20" spans="1:12" ht="20.100000000000001" customHeight="1" x14ac:dyDescent="0.25">
      <c r="A20" s="11">
        <v>1019</v>
      </c>
      <c r="B20" s="11" t="s">
        <v>67</v>
      </c>
      <c r="C20" s="11">
        <v>2025</v>
      </c>
      <c r="D20" s="11" t="s">
        <v>64</v>
      </c>
      <c r="E20" s="12" t="s">
        <v>11</v>
      </c>
      <c r="F20" s="12" t="s">
        <v>23</v>
      </c>
      <c r="G20" s="12" t="s">
        <v>6</v>
      </c>
      <c r="H20" s="12" t="s">
        <v>38</v>
      </c>
      <c r="I20" s="13">
        <v>8</v>
      </c>
      <c r="J20" s="14">
        <v>26500</v>
      </c>
      <c r="K20" s="14">
        <f t="shared" si="0"/>
        <v>212000</v>
      </c>
      <c r="L20" s="11" t="s">
        <v>39</v>
      </c>
    </row>
    <row r="21" spans="1:12" ht="20.100000000000001" customHeight="1" x14ac:dyDescent="0.25">
      <c r="A21" s="15">
        <v>1020</v>
      </c>
      <c r="B21" s="15" t="s">
        <v>68</v>
      </c>
      <c r="C21" s="15">
        <v>2025</v>
      </c>
      <c r="D21" s="15" t="s">
        <v>64</v>
      </c>
      <c r="E21" s="16" t="s">
        <v>10</v>
      </c>
      <c r="F21" s="16" t="s">
        <v>20</v>
      </c>
      <c r="G21" s="16" t="s">
        <v>7</v>
      </c>
      <c r="H21" s="16" t="s">
        <v>50</v>
      </c>
      <c r="I21" s="9">
        <v>14</v>
      </c>
      <c r="J21" s="4">
        <v>8200</v>
      </c>
      <c r="K21" s="4">
        <f t="shared" si="0"/>
        <v>114800</v>
      </c>
      <c r="L21" s="15" t="s">
        <v>54</v>
      </c>
    </row>
    <row r="22" spans="1:12" ht="20.100000000000001" customHeight="1" x14ac:dyDescent="0.25">
      <c r="A22" s="11">
        <v>1021</v>
      </c>
      <c r="B22" s="11" t="s">
        <v>69</v>
      </c>
      <c r="C22" s="11">
        <v>2026</v>
      </c>
      <c r="D22" s="11" t="s">
        <v>37</v>
      </c>
      <c r="E22" s="12" t="s">
        <v>10</v>
      </c>
      <c r="F22" s="12" t="s">
        <v>20</v>
      </c>
      <c r="G22" s="12" t="s">
        <v>6</v>
      </c>
      <c r="H22" s="12" t="s">
        <v>38</v>
      </c>
      <c r="I22" s="13">
        <v>18</v>
      </c>
      <c r="J22" s="14">
        <v>28000</v>
      </c>
      <c r="K22" s="14">
        <f t="shared" si="0"/>
        <v>504000</v>
      </c>
      <c r="L22" s="11" t="s">
        <v>39</v>
      </c>
    </row>
    <row r="23" spans="1:12" ht="20.100000000000001" customHeight="1" x14ac:dyDescent="0.25">
      <c r="A23" s="15">
        <v>1022</v>
      </c>
      <c r="B23" s="15" t="s">
        <v>70</v>
      </c>
      <c r="C23" s="15">
        <v>2026</v>
      </c>
      <c r="D23" s="15" t="s">
        <v>37</v>
      </c>
      <c r="E23" s="16" t="s">
        <v>11</v>
      </c>
      <c r="F23" s="16" t="s">
        <v>21</v>
      </c>
      <c r="G23" s="16" t="s">
        <v>7</v>
      </c>
      <c r="H23" s="16" t="s">
        <v>41</v>
      </c>
      <c r="I23" s="9">
        <v>40</v>
      </c>
      <c r="J23" s="4">
        <v>4000</v>
      </c>
      <c r="K23" s="4">
        <f t="shared" si="0"/>
        <v>160000</v>
      </c>
      <c r="L23" s="15" t="s">
        <v>39</v>
      </c>
    </row>
    <row r="24" spans="1:12" ht="20.100000000000001" customHeight="1" x14ac:dyDescent="0.25">
      <c r="A24" s="11">
        <v>1023</v>
      </c>
      <c r="B24" s="11" t="s">
        <v>71</v>
      </c>
      <c r="C24" s="11">
        <v>2026</v>
      </c>
      <c r="D24" s="11" t="s">
        <v>49</v>
      </c>
      <c r="E24" s="12" t="s">
        <v>13</v>
      </c>
      <c r="F24" s="12" t="s">
        <v>24</v>
      </c>
      <c r="G24" s="12" t="s">
        <v>6</v>
      </c>
      <c r="H24" s="12" t="s">
        <v>43</v>
      </c>
      <c r="I24" s="13">
        <v>25</v>
      </c>
      <c r="J24" s="14">
        <v>8500</v>
      </c>
      <c r="K24" s="14">
        <f t="shared" si="0"/>
        <v>212500</v>
      </c>
      <c r="L24" s="11" t="s">
        <v>39</v>
      </c>
    </row>
    <row r="25" spans="1:12" ht="20.100000000000001" customHeight="1" x14ac:dyDescent="0.25">
      <c r="A25" s="15">
        <v>1024</v>
      </c>
      <c r="B25" s="15" t="s">
        <v>72</v>
      </c>
      <c r="C25" s="15">
        <v>2026</v>
      </c>
      <c r="D25" s="15" t="s">
        <v>49</v>
      </c>
      <c r="E25" s="16" t="s">
        <v>12</v>
      </c>
      <c r="F25" s="16" t="s">
        <v>22</v>
      </c>
      <c r="G25" s="16" t="s">
        <v>8</v>
      </c>
      <c r="H25" s="16" t="s">
        <v>45</v>
      </c>
      <c r="I25" s="9">
        <v>300</v>
      </c>
      <c r="J25" s="4">
        <v>130</v>
      </c>
      <c r="K25" s="4">
        <f t="shared" si="0"/>
        <v>39000</v>
      </c>
      <c r="L25" s="15" t="s">
        <v>39</v>
      </c>
    </row>
    <row r="26" spans="1:12" ht="20.100000000000001" customHeight="1" x14ac:dyDescent="0.25">
      <c r="A26" s="11">
        <v>1025</v>
      </c>
      <c r="B26" s="11" t="s">
        <v>73</v>
      </c>
      <c r="C26" s="11">
        <v>2026</v>
      </c>
      <c r="D26" s="11" t="s">
        <v>58</v>
      </c>
      <c r="E26" s="12" t="s">
        <v>10</v>
      </c>
      <c r="F26" s="12" t="s">
        <v>23</v>
      </c>
      <c r="G26" s="12" t="s">
        <v>6</v>
      </c>
      <c r="H26" s="12" t="s">
        <v>38</v>
      </c>
      <c r="I26" s="13">
        <v>14</v>
      </c>
      <c r="J26" s="14">
        <v>29000</v>
      </c>
      <c r="K26" s="14">
        <f t="shared" si="0"/>
        <v>406000</v>
      </c>
      <c r="L26" s="11" t="s">
        <v>39</v>
      </c>
    </row>
  </sheetData>
  <autoFilter ref="A1:L2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opLeftCell="A4" workbookViewId="0">
      <selection activeCell="A5" sqref="A5"/>
    </sheetView>
  </sheetViews>
  <sheetFormatPr defaultRowHeight="15" x14ac:dyDescent="0.25"/>
  <cols>
    <col min="1" max="1" width="64" customWidth="1"/>
    <col min="2" max="2" width="49" customWidth="1"/>
    <col min="3" max="3" width="42" customWidth="1"/>
    <col min="4" max="4" width="57" customWidth="1"/>
    <col min="5" max="5" width="48" customWidth="1"/>
    <col min="6" max="6" width="138" customWidth="1"/>
    <col min="7" max="7" width="12" customWidth="1"/>
  </cols>
  <sheetData>
    <row r="1" spans="1:7" ht="39.950000000000003" customHeight="1" x14ac:dyDescent="0.25">
      <c r="A1" s="25" t="s">
        <v>74</v>
      </c>
      <c r="B1" s="26"/>
      <c r="C1" s="26"/>
      <c r="D1" s="26"/>
      <c r="E1" s="26"/>
      <c r="F1" s="26"/>
      <c r="G1" s="26"/>
    </row>
    <row r="3" spans="1:7" ht="24.95" customHeight="1" x14ac:dyDescent="0.25">
      <c r="A3" s="17" t="s">
        <v>75</v>
      </c>
      <c r="B3" s="17" t="s">
        <v>76</v>
      </c>
      <c r="C3" s="17" t="s">
        <v>77</v>
      </c>
      <c r="D3" s="17" t="s">
        <v>78</v>
      </c>
      <c r="E3" s="17" t="s">
        <v>79</v>
      </c>
      <c r="F3" s="17" t="s">
        <v>80</v>
      </c>
    </row>
    <row r="4" spans="1:7" ht="24" customHeight="1" x14ac:dyDescent="0.25">
      <c r="A4" s="18" t="s">
        <v>81</v>
      </c>
      <c r="B4" s="3" t="s">
        <v>82</v>
      </c>
      <c r="C4" s="16" t="s">
        <v>83</v>
      </c>
      <c r="D4" s="16" t="s">
        <v>84</v>
      </c>
      <c r="E4" s="19" t="s">
        <v>85</v>
      </c>
      <c r="F4" s="5"/>
    </row>
    <row r="5" spans="1:7" ht="24" customHeight="1" x14ac:dyDescent="0.25">
      <c r="A5" s="18" t="s">
        <v>86</v>
      </c>
      <c r="B5" s="3" t="s">
        <v>87</v>
      </c>
      <c r="C5" s="16" t="s">
        <v>88</v>
      </c>
      <c r="D5" s="16" t="s">
        <v>89</v>
      </c>
      <c r="E5" s="19" t="s">
        <v>90</v>
      </c>
      <c r="F5" s="5"/>
    </row>
    <row r="6" spans="1:7" ht="24" customHeight="1" x14ac:dyDescent="0.25">
      <c r="A6" s="18" t="s">
        <v>91</v>
      </c>
      <c r="B6" s="3" t="s">
        <v>92</v>
      </c>
      <c r="C6" s="16" t="s">
        <v>93</v>
      </c>
      <c r="D6" s="16" t="s">
        <v>94</v>
      </c>
      <c r="E6" s="19" t="s">
        <v>95</v>
      </c>
      <c r="F6" s="5"/>
    </row>
    <row r="7" spans="1:7" ht="24" customHeight="1" x14ac:dyDescent="0.25">
      <c r="A7" s="18" t="s">
        <v>96</v>
      </c>
      <c r="B7" s="3" t="s">
        <v>97</v>
      </c>
      <c r="C7" s="16" t="s">
        <v>98</v>
      </c>
      <c r="D7" s="16" t="s">
        <v>99</v>
      </c>
      <c r="E7" s="19" t="s">
        <v>100</v>
      </c>
      <c r="F7" s="5"/>
    </row>
    <row r="8" spans="1:7" ht="24" customHeight="1" x14ac:dyDescent="0.25">
      <c r="A8" s="18" t="s">
        <v>101</v>
      </c>
      <c r="B8" s="3" t="s">
        <v>102</v>
      </c>
      <c r="C8" s="16" t="s">
        <v>103</v>
      </c>
      <c r="D8" s="16" t="s">
        <v>104</v>
      </c>
      <c r="E8" s="19" t="s">
        <v>105</v>
      </c>
      <c r="F8" s="5"/>
    </row>
    <row r="9" spans="1:7" ht="24" customHeight="1" x14ac:dyDescent="0.25">
      <c r="A9" s="18" t="s">
        <v>106</v>
      </c>
      <c r="B9" s="3" t="s">
        <v>107</v>
      </c>
      <c r="C9" s="16" t="s">
        <v>108</v>
      </c>
      <c r="D9" s="16" t="s">
        <v>109</v>
      </c>
      <c r="E9" s="19" t="s">
        <v>110</v>
      </c>
      <c r="F9" s="5"/>
    </row>
    <row r="10" spans="1:7" ht="24" customHeight="1" x14ac:dyDescent="0.25">
      <c r="A10" s="18" t="s">
        <v>111</v>
      </c>
      <c r="B10" s="3" t="s">
        <v>112</v>
      </c>
      <c r="C10" s="16" t="s">
        <v>113</v>
      </c>
      <c r="D10" s="16" t="s">
        <v>114</v>
      </c>
      <c r="E10" s="19" t="s">
        <v>115</v>
      </c>
      <c r="F10" s="5"/>
    </row>
    <row r="11" spans="1:7" ht="24" customHeight="1" x14ac:dyDescent="0.25">
      <c r="A11" s="18" t="s">
        <v>116</v>
      </c>
      <c r="B11" s="3" t="s">
        <v>117</v>
      </c>
      <c r="C11" s="16" t="s">
        <v>118</v>
      </c>
      <c r="D11" s="16" t="s">
        <v>119</v>
      </c>
      <c r="E11" s="19" t="s">
        <v>120</v>
      </c>
      <c r="F11" s="5"/>
    </row>
    <row r="12" spans="1:7" ht="24" customHeight="1" x14ac:dyDescent="0.25">
      <c r="A12" s="18" t="s">
        <v>121</v>
      </c>
      <c r="B12" s="3" t="s">
        <v>122</v>
      </c>
      <c r="C12" s="16" t="s">
        <v>123</v>
      </c>
      <c r="D12" s="16" t="s">
        <v>124</v>
      </c>
      <c r="E12" s="19" t="s">
        <v>125</v>
      </c>
      <c r="F12" s="20"/>
    </row>
    <row r="18" spans="5:5" x14ac:dyDescent="0.25">
      <c r="E18" s="21" t="s">
        <v>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Özet Gösterge Paneli</vt:lpstr>
      <vt:lpstr>Satış Verileri</vt:lpstr>
      <vt:lpstr>ETOPLA &amp; ÇOKETOPLA Formülleri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OGRETMEN</cp:lastModifiedBy>
  <dcterms:created xsi:type="dcterms:W3CDTF">2026-10-12T10:35:20Z</dcterms:created>
  <dcterms:modified xsi:type="dcterms:W3CDTF">2026-10-12T11:46:14Z</dcterms:modified>
</cp:coreProperties>
</file>