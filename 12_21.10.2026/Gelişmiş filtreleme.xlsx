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3913D7E-30E2-42FE-BA55-E5533A977B15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definedNames>
    <definedName name="_xlnm._FilterDatabase" localSheetId="0" hidden="1">Sayfa1!$A$2:$H$22</definedName>
    <definedName name="_xlnm.Criteria" localSheetId="0">Sayfa1!$J$9:$K$10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B3" i="1"/>
  <c r="A3" i="1"/>
</calcChain>
</file>

<file path=xl/sharedStrings.xml><?xml version="1.0" encoding="utf-8"?>
<sst xmlns="http://schemas.openxmlformats.org/spreadsheetml/2006/main" count="101" uniqueCount="36">
  <si>
    <t>Bornoz</t>
  </si>
  <si>
    <t>Gamze</t>
  </si>
  <si>
    <t>İspanya</t>
  </si>
  <si>
    <t>XCV Text</t>
  </si>
  <si>
    <t>Eda</t>
  </si>
  <si>
    <t>ERDA</t>
  </si>
  <si>
    <t>Rusya</t>
  </si>
  <si>
    <t>Mustafa</t>
  </si>
  <si>
    <t>Benner</t>
  </si>
  <si>
    <t>El Havlusu</t>
  </si>
  <si>
    <t>Nakışlı Havlu</t>
  </si>
  <si>
    <t>DENDEX</t>
  </si>
  <si>
    <t>Fransa</t>
  </si>
  <si>
    <t>Plaj Havlusu</t>
  </si>
  <si>
    <t>Almanya</t>
  </si>
  <si>
    <t>Bornoz 45 Takım</t>
  </si>
  <si>
    <t>Evteks</t>
  </si>
  <si>
    <t>Çocuk Giysisi</t>
  </si>
  <si>
    <t>Havlu 45 adet</t>
  </si>
  <si>
    <t>Havlu 5.000 Adet</t>
  </si>
  <si>
    <t>Bornoz 50 Takım</t>
  </si>
  <si>
    <t>Tutar</t>
  </si>
  <si>
    <t>Ürünler</t>
  </si>
  <si>
    <t>Temsilci</t>
  </si>
  <si>
    <t>Ülke</t>
  </si>
  <si>
    <t>Tarih</t>
  </si>
  <si>
    <t>Firma</t>
  </si>
  <si>
    <t>Denkim</t>
  </si>
  <si>
    <t>Karsan</t>
  </si>
  <si>
    <t>Ay</t>
  </si>
  <si>
    <t>gün</t>
  </si>
  <si>
    <t>ctrl+shift+L</t>
  </si>
  <si>
    <t>&lt;=01.05.2023</t>
  </si>
  <si>
    <t>*Gamze*</t>
  </si>
  <si>
    <t>*havlu*</t>
  </si>
  <si>
    <t>*Evteks*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</si>
</sst>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* #,##0.00\ _T_L_-;\-* #,##0.00\ _T_L_-;_-* &quot;-&quot;??\ _T_L_-;_-@_-"/>
    <numFmt numFmtId="165" formatCode="_-* #,##0\ _T_L_-;\-* #,##0\ _T_L_-;_-* &quot;-&quot;??\ _T_L_-;_-@_-"/>
    <numFmt numFmtId="166" formatCode="_-&quot;₺&quot;* #,##0_-;\-&quot;₺&quot;* #,##0_-;_-&quot;₺&quot;* &quot;-&quot;??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Font="1" applyFill="1" applyBorder="1"/>
    <xf numFmtId="14" fontId="0" fillId="0" borderId="0" xfId="0" applyNumberFormat="1" applyFont="1" applyFill="1" applyBorder="1"/>
    <xf numFmtId="0" fontId="2" fillId="0" borderId="0" xfId="0" applyFont="1" applyFill="1" applyBorder="1"/>
    <xf numFmtId="14" fontId="2" fillId="0" borderId="0" xfId="0" applyNumberFormat="1" applyFont="1" applyFill="1" applyBorder="1"/>
    <xf numFmtId="0" fontId="3" fillId="2" borderId="0" xfId="0" applyFont="1" applyFill="1" applyBorder="1"/>
    <xf numFmtId="14" fontId="3" fillId="2" borderId="0" xfId="0" applyNumberFormat="1" applyFont="1" applyFill="1" applyBorder="1"/>
    <xf numFmtId="165" fontId="0" fillId="0" borderId="0" xfId="0" applyNumberFormat="1"/>
    <xf numFmtId="164" fontId="0" fillId="0" borderId="0" xfId="1" applyFont="1"/>
    <xf numFmtId="166" fontId="0" fillId="0" borderId="0" xfId="2" applyNumberFormat="1" applyFont="1"/>
    <xf numFmtId="166" fontId="3" fillId="2" borderId="0" xfId="2" applyNumberFormat="1" applyFont="1" applyFill="1" applyBorder="1"/>
    <xf numFmtId="166" fontId="2" fillId="0" borderId="0" xfId="2" applyNumberFormat="1" applyFont="1" applyFill="1" applyBorder="1"/>
    <xf numFmtId="166" fontId="0" fillId="0" borderId="0" xfId="2" applyNumberFormat="1" applyFont="1" applyFill="1" applyBorder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tabSelected="1" zoomScale="115" zoomScaleNormal="115" workbookViewId="0">
      <selection activeCell="K2" sqref="K2"/>
    </sheetView>
  </sheetViews>
  <sheetFormatPr defaultRowHeight="15" x14ac:dyDescent="0.25"/>
  <cols>
    <col min="1" max="1" width="4.7109375" bestFit="1" customWidth="1"/>
    <col min="2" max="2" width="3.5703125" bestFit="1" customWidth="1"/>
    <col min="3" max="3" width="10.85546875" style="1" bestFit="1" customWidth="1"/>
    <col min="4" max="4" width="8.85546875" bestFit="1" customWidth="1"/>
    <col min="5" max="5" width="8.7109375" bestFit="1" customWidth="1"/>
    <col min="6" max="6" width="11" bestFit="1" customWidth="1"/>
    <col min="7" max="7" width="15.85546875" bestFit="1" customWidth="1"/>
    <col min="8" max="8" width="13.42578125" style="10" bestFit="1" customWidth="1"/>
    <col min="9" max="9" width="4.5703125" customWidth="1"/>
    <col min="10" max="10" width="14.5703125" customWidth="1"/>
    <col min="12" max="12" width="5.28515625" customWidth="1"/>
    <col min="13" max="13" width="13" bestFit="1" customWidth="1"/>
  </cols>
  <sheetData>
    <row r="1" spans="1:11" x14ac:dyDescent="0.25">
      <c r="G1" t="s">
        <v>31</v>
      </c>
    </row>
    <row r="2" spans="1:11" ht="15.75" x14ac:dyDescent="0.25">
      <c r="A2" s="6" t="s">
        <v>30</v>
      </c>
      <c r="B2" s="6" t="s">
        <v>29</v>
      </c>
      <c r="C2" s="7" t="s">
        <v>25</v>
      </c>
      <c r="D2" s="6" t="s">
        <v>26</v>
      </c>
      <c r="E2" s="6" t="s">
        <v>24</v>
      </c>
      <c r="F2" s="6" t="s">
        <v>23</v>
      </c>
      <c r="G2" s="6" t="s">
        <v>22</v>
      </c>
      <c r="H2" s="11" t="s">
        <v>21</v>
      </c>
      <c r="J2" s="7" t="s">
        <v>25</v>
      </c>
      <c r="K2" s="6" t="s">
        <v>26</v>
      </c>
    </row>
    <row r="3" spans="1:11" x14ac:dyDescent="0.25">
      <c r="A3">
        <f>DAY(C3)</f>
        <v>6</v>
      </c>
      <c r="B3" s="2">
        <f>MONTH(C3)</f>
        <v>3</v>
      </c>
      <c r="C3" s="5">
        <v>44991</v>
      </c>
      <c r="D3" s="4" t="s">
        <v>16</v>
      </c>
      <c r="E3" s="4" t="s">
        <v>14</v>
      </c>
      <c r="F3" s="4" t="s">
        <v>7</v>
      </c>
      <c r="G3" s="4" t="s">
        <v>19</v>
      </c>
      <c r="H3" s="12">
        <v>65000</v>
      </c>
      <c r="I3" s="8"/>
      <c r="J3" t="s">
        <v>32</v>
      </c>
      <c r="K3" t="s">
        <v>35</v>
      </c>
    </row>
    <row r="4" spans="1:11" x14ac:dyDescent="0.25">
      <c r="A4">
        <f t="shared" ref="A4:A22" si="0">DAY(C4)</f>
        <v>10</v>
      </c>
      <c r="B4" s="2">
        <f t="shared" ref="B4:B22" si="1">MONTH(C4)</f>
        <v>3</v>
      </c>
      <c r="C4" s="5">
        <v>44995</v>
      </c>
      <c r="D4" s="4" t="s">
        <v>28</v>
      </c>
      <c r="E4" s="4" t="s">
        <v>14</v>
      </c>
      <c r="F4" s="4" t="s">
        <v>7</v>
      </c>
      <c r="G4" s="4" t="s">
        <v>15</v>
      </c>
      <c r="H4" s="12">
        <v>8400</v>
      </c>
      <c r="I4" s="8"/>
    </row>
    <row r="5" spans="1:11" x14ac:dyDescent="0.25">
      <c r="A5">
        <f t="shared" si="0"/>
        <v>14</v>
      </c>
      <c r="B5" s="2">
        <f t="shared" si="1"/>
        <v>3</v>
      </c>
      <c r="C5" s="5">
        <v>44999</v>
      </c>
      <c r="D5" s="4" t="s">
        <v>27</v>
      </c>
      <c r="E5" s="4" t="s">
        <v>6</v>
      </c>
      <c r="F5" s="4" t="s">
        <v>7</v>
      </c>
      <c r="G5" s="4" t="s">
        <v>9</v>
      </c>
      <c r="H5" s="12">
        <v>56000</v>
      </c>
      <c r="I5" s="8"/>
    </row>
    <row r="6" spans="1:11" ht="15.75" x14ac:dyDescent="0.25">
      <c r="A6">
        <f t="shared" si="0"/>
        <v>22</v>
      </c>
      <c r="B6" s="2">
        <f t="shared" si="1"/>
        <v>3</v>
      </c>
      <c r="C6" s="3">
        <v>45007</v>
      </c>
      <c r="D6" s="2" t="s">
        <v>8</v>
      </c>
      <c r="E6" s="2" t="s">
        <v>14</v>
      </c>
      <c r="F6" s="2" t="s">
        <v>7</v>
      </c>
      <c r="G6" s="2" t="s">
        <v>20</v>
      </c>
      <c r="H6" s="13">
        <v>4000</v>
      </c>
      <c r="I6" s="8"/>
      <c r="J6" s="7" t="s">
        <v>25</v>
      </c>
      <c r="K6" s="6" t="s">
        <v>22</v>
      </c>
    </row>
    <row r="7" spans="1:11" x14ac:dyDescent="0.25">
      <c r="A7">
        <f t="shared" si="0"/>
        <v>30</v>
      </c>
      <c r="B7" s="2">
        <f t="shared" si="1"/>
        <v>3</v>
      </c>
      <c r="C7" s="5">
        <v>45015</v>
      </c>
      <c r="D7" s="4" t="s">
        <v>16</v>
      </c>
      <c r="E7" s="4" t="s">
        <v>14</v>
      </c>
      <c r="F7" s="4" t="s">
        <v>7</v>
      </c>
      <c r="G7" s="4" t="s">
        <v>15</v>
      </c>
      <c r="H7" s="12">
        <v>55000</v>
      </c>
      <c r="I7" s="8"/>
      <c r="J7" t="s">
        <v>32</v>
      </c>
      <c r="K7" t="s">
        <v>34</v>
      </c>
    </row>
    <row r="8" spans="1:11" x14ac:dyDescent="0.25">
      <c r="A8">
        <f t="shared" si="0"/>
        <v>3</v>
      </c>
      <c r="B8" s="2">
        <f t="shared" si="1"/>
        <v>4</v>
      </c>
      <c r="C8" s="3">
        <v>45019</v>
      </c>
      <c r="D8" s="2" t="s">
        <v>8</v>
      </c>
      <c r="E8" s="2" t="s">
        <v>14</v>
      </c>
      <c r="F8" s="2" t="s">
        <v>1</v>
      </c>
      <c r="G8" s="2" t="s">
        <v>17</v>
      </c>
      <c r="H8" s="13">
        <v>25000</v>
      </c>
      <c r="I8" s="8"/>
    </row>
    <row r="9" spans="1:11" ht="15.75" x14ac:dyDescent="0.25">
      <c r="A9">
        <f t="shared" si="0"/>
        <v>7</v>
      </c>
      <c r="B9" s="2">
        <f t="shared" si="1"/>
        <v>4</v>
      </c>
      <c r="C9" s="3">
        <v>45023</v>
      </c>
      <c r="D9" s="2" t="s">
        <v>8</v>
      </c>
      <c r="E9" s="2" t="s">
        <v>14</v>
      </c>
      <c r="F9" s="2" t="s">
        <v>7</v>
      </c>
      <c r="G9" s="2" t="s">
        <v>17</v>
      </c>
      <c r="H9" s="13">
        <v>25000</v>
      </c>
      <c r="I9" s="8"/>
      <c r="J9" s="7" t="s">
        <v>25</v>
      </c>
      <c r="K9" s="6" t="s">
        <v>23</v>
      </c>
    </row>
    <row r="10" spans="1:11" x14ac:dyDescent="0.25">
      <c r="A10">
        <f t="shared" si="0"/>
        <v>11</v>
      </c>
      <c r="B10" s="2">
        <f t="shared" si="1"/>
        <v>4</v>
      </c>
      <c r="C10" s="3">
        <v>45027</v>
      </c>
      <c r="D10" s="2" t="s">
        <v>8</v>
      </c>
      <c r="E10" s="2" t="s">
        <v>14</v>
      </c>
      <c r="F10" s="2" t="s">
        <v>1</v>
      </c>
      <c r="G10" s="2" t="s">
        <v>18</v>
      </c>
      <c r="H10" s="13">
        <v>5000</v>
      </c>
      <c r="I10" s="8"/>
      <c r="J10" t="s">
        <v>32</v>
      </c>
      <c r="K10" t="s">
        <v>33</v>
      </c>
    </row>
    <row r="11" spans="1:11" x14ac:dyDescent="0.25">
      <c r="A11">
        <f t="shared" si="0"/>
        <v>15</v>
      </c>
      <c r="B11" s="2">
        <f t="shared" si="1"/>
        <v>4</v>
      </c>
      <c r="C11" s="5">
        <v>45031</v>
      </c>
      <c r="D11" s="4" t="s">
        <v>16</v>
      </c>
      <c r="E11" s="4" t="s">
        <v>14</v>
      </c>
      <c r="F11" s="4" t="s">
        <v>7</v>
      </c>
      <c r="G11" s="4" t="s">
        <v>17</v>
      </c>
      <c r="H11" s="12">
        <v>25000</v>
      </c>
      <c r="I11" s="8"/>
    </row>
    <row r="12" spans="1:11" x14ac:dyDescent="0.25">
      <c r="A12">
        <f t="shared" si="0"/>
        <v>19</v>
      </c>
      <c r="B12" s="2">
        <f t="shared" si="1"/>
        <v>4</v>
      </c>
      <c r="C12" s="3">
        <v>45035</v>
      </c>
      <c r="D12" s="2" t="s">
        <v>8</v>
      </c>
      <c r="E12" s="2" t="s">
        <v>14</v>
      </c>
      <c r="F12" s="2" t="s">
        <v>7</v>
      </c>
      <c r="G12" s="2" t="s">
        <v>17</v>
      </c>
      <c r="H12" s="13">
        <v>25000</v>
      </c>
      <c r="I12" s="8"/>
    </row>
    <row r="13" spans="1:11" x14ac:dyDescent="0.25">
      <c r="A13">
        <f t="shared" si="0"/>
        <v>23</v>
      </c>
      <c r="B13" s="2">
        <f t="shared" si="1"/>
        <v>4</v>
      </c>
      <c r="C13" s="5">
        <v>45039</v>
      </c>
      <c r="D13" s="4" t="s">
        <v>16</v>
      </c>
      <c r="E13" s="4" t="s">
        <v>14</v>
      </c>
      <c r="F13" s="4" t="s">
        <v>1</v>
      </c>
      <c r="G13" s="4" t="s">
        <v>18</v>
      </c>
      <c r="H13" s="12">
        <v>5000</v>
      </c>
      <c r="I13" s="8"/>
    </row>
    <row r="14" spans="1:11" x14ac:dyDescent="0.25">
      <c r="A14">
        <f t="shared" si="0"/>
        <v>27</v>
      </c>
      <c r="B14" s="2">
        <f t="shared" si="1"/>
        <v>4</v>
      </c>
      <c r="C14" s="3">
        <v>45043</v>
      </c>
      <c r="D14" s="2" t="s">
        <v>5</v>
      </c>
      <c r="E14" s="2" t="s">
        <v>6</v>
      </c>
      <c r="F14" s="2" t="s">
        <v>4</v>
      </c>
      <c r="G14" s="2" t="s">
        <v>0</v>
      </c>
      <c r="H14" s="13">
        <v>63000</v>
      </c>
      <c r="I14" s="8"/>
    </row>
    <row r="15" spans="1:11" x14ac:dyDescent="0.25">
      <c r="A15">
        <f t="shared" si="0"/>
        <v>29</v>
      </c>
      <c r="B15" s="2">
        <f t="shared" si="1"/>
        <v>5</v>
      </c>
      <c r="C15" s="3">
        <v>45075</v>
      </c>
      <c r="D15" s="2" t="s">
        <v>11</v>
      </c>
      <c r="E15" s="2" t="s">
        <v>2</v>
      </c>
      <c r="F15" s="2" t="s">
        <v>1</v>
      </c>
      <c r="G15" s="2" t="s">
        <v>10</v>
      </c>
      <c r="H15" s="13">
        <v>14700</v>
      </c>
      <c r="I15" s="8"/>
    </row>
    <row r="16" spans="1:11" x14ac:dyDescent="0.25">
      <c r="A16">
        <f t="shared" si="0"/>
        <v>2</v>
      </c>
      <c r="B16" s="2">
        <f t="shared" si="1"/>
        <v>6</v>
      </c>
      <c r="C16" s="3">
        <v>45079</v>
      </c>
      <c r="D16" s="2" t="s">
        <v>3</v>
      </c>
      <c r="E16" s="2" t="s">
        <v>12</v>
      </c>
      <c r="F16" s="2" t="s">
        <v>1</v>
      </c>
      <c r="G16" s="2" t="s">
        <v>0</v>
      </c>
      <c r="H16" s="13">
        <v>14520</v>
      </c>
      <c r="I16" s="8"/>
    </row>
    <row r="17" spans="1:9" x14ac:dyDescent="0.25">
      <c r="A17">
        <f t="shared" si="0"/>
        <v>6</v>
      </c>
      <c r="B17" s="2">
        <f t="shared" si="1"/>
        <v>6</v>
      </c>
      <c r="C17" s="3">
        <v>45083</v>
      </c>
      <c r="D17" s="2" t="s">
        <v>3</v>
      </c>
      <c r="E17" s="2" t="s">
        <v>6</v>
      </c>
      <c r="F17" s="2" t="s">
        <v>1</v>
      </c>
      <c r="G17" s="2" t="s">
        <v>9</v>
      </c>
      <c r="H17" s="13">
        <v>41000</v>
      </c>
      <c r="I17" s="8"/>
    </row>
    <row r="18" spans="1:9" x14ac:dyDescent="0.25">
      <c r="A18">
        <f t="shared" si="0"/>
        <v>18</v>
      </c>
      <c r="B18" s="2">
        <f t="shared" si="1"/>
        <v>6</v>
      </c>
      <c r="C18" s="3">
        <v>45095</v>
      </c>
      <c r="D18" s="2" t="s">
        <v>27</v>
      </c>
      <c r="E18" s="2" t="s">
        <v>12</v>
      </c>
      <c r="F18" s="2" t="s">
        <v>1</v>
      </c>
      <c r="G18" s="2" t="s">
        <v>9</v>
      </c>
      <c r="H18" s="13">
        <v>74000</v>
      </c>
      <c r="I18" s="8"/>
    </row>
    <row r="19" spans="1:9" x14ac:dyDescent="0.25">
      <c r="A19">
        <f t="shared" si="0"/>
        <v>22</v>
      </c>
      <c r="B19" s="2">
        <f t="shared" si="1"/>
        <v>6</v>
      </c>
      <c r="C19" s="3">
        <v>45099</v>
      </c>
      <c r="D19" s="2" t="s">
        <v>3</v>
      </c>
      <c r="E19" s="2" t="s">
        <v>12</v>
      </c>
      <c r="F19" s="2" t="s">
        <v>1</v>
      </c>
      <c r="G19" s="2" t="s">
        <v>13</v>
      </c>
      <c r="H19" s="13">
        <v>52000</v>
      </c>
      <c r="I19" s="8"/>
    </row>
    <row r="20" spans="1:9" x14ac:dyDescent="0.25">
      <c r="A20">
        <f t="shared" si="0"/>
        <v>30</v>
      </c>
      <c r="B20" s="2">
        <f t="shared" si="1"/>
        <v>6</v>
      </c>
      <c r="C20" s="3">
        <v>45107</v>
      </c>
      <c r="D20" s="2" t="s">
        <v>3</v>
      </c>
      <c r="E20" s="2" t="s">
        <v>12</v>
      </c>
      <c r="F20" s="2" t="s">
        <v>1</v>
      </c>
      <c r="G20" s="2" t="s">
        <v>13</v>
      </c>
      <c r="H20" s="13">
        <v>63000</v>
      </c>
      <c r="I20" s="8"/>
    </row>
    <row r="21" spans="1:9" x14ac:dyDescent="0.25">
      <c r="A21">
        <f t="shared" si="0"/>
        <v>4</v>
      </c>
      <c r="B21" s="2">
        <f t="shared" si="1"/>
        <v>7</v>
      </c>
      <c r="C21" s="3">
        <v>45111</v>
      </c>
      <c r="D21" s="2" t="s">
        <v>28</v>
      </c>
      <c r="E21" s="2" t="s">
        <v>14</v>
      </c>
      <c r="F21" s="2" t="s">
        <v>1</v>
      </c>
      <c r="G21" s="2" t="s">
        <v>13</v>
      </c>
      <c r="H21" s="13">
        <v>77400</v>
      </c>
      <c r="I21" s="8"/>
    </row>
    <row r="22" spans="1:9" x14ac:dyDescent="0.25">
      <c r="A22">
        <f t="shared" si="0"/>
        <v>20</v>
      </c>
      <c r="B22" s="2">
        <f t="shared" si="1"/>
        <v>7</v>
      </c>
      <c r="C22" s="3">
        <v>45127</v>
      </c>
      <c r="D22" s="2" t="s">
        <v>3</v>
      </c>
      <c r="E22" s="2" t="s">
        <v>2</v>
      </c>
      <c r="F22" s="2" t="s">
        <v>1</v>
      </c>
      <c r="G22" s="2" t="s">
        <v>9</v>
      </c>
      <c r="H22" s="13">
        <v>3600</v>
      </c>
      <c r="I22" s="8"/>
    </row>
    <row r="23" spans="1:9" x14ac:dyDescent="0.25">
      <c r="I23" s="9"/>
    </row>
  </sheetData>
  <sortState xmlns:xlrd2="http://schemas.microsoft.com/office/spreadsheetml/2017/richdata2" ref="A3:H23">
    <sortCondition ref="C1"/>
  </sortState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Sayfa1!Olcut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PCOGRETMEN</dc:creator>
  <cp:lastModifiedBy>OGRETMEN</cp:lastModifiedBy>
  <dcterms:created xsi:type="dcterms:W3CDTF">2012-10-13T17:38:21Z</dcterms:created>
  <dcterms:modified xsi:type="dcterms:W3CDTF">2026-10-21T11:05:58Z</dcterms:modified>
</cp:coreProperties>
</file>